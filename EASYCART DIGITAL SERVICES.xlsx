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lun\Downloads\40811eyack.com.MAIL_xsbsxxypt8dh6!App\"/>
    </mc:Choice>
  </mc:AlternateContent>
  <xr:revisionPtr revIDLastSave="0" documentId="13_ncr:1_{11C4A895-8D8F-4E3A-8AF2-72FA433068BA}" xr6:coauthVersionLast="47" xr6:coauthVersionMax="47" xr10:uidLastSave="{00000000-0000-0000-0000-000000000000}"/>
  <bookViews>
    <workbookView xWindow="-110" yWindow="-110" windowWidth="19420" windowHeight="10420" tabRatio="764" firstSheet="5" activeTab="5" xr2:uid="{00000000-000D-0000-FFFF-FFFF00000000}"/>
  </bookViews>
  <sheets>
    <sheet name="DASHBOARD" sheetId="5" r:id="rId1"/>
    <sheet name="COSTS" sheetId="2" r:id="rId2"/>
    <sheet name="Total Customer Apple Music" sheetId="1" r:id="rId3"/>
    <sheet name="PIVOT Apple Music 2025" sheetId="9" r:id="rId4"/>
    <sheet name="SPOTIFY" sheetId="10" r:id="rId5"/>
    <sheet name="PRIME VIDEO" sheetId="11" r:id="rId6"/>
    <sheet name="DSTV CUSTOMERS" sheetId="13" r:id="rId7"/>
    <sheet name="ICLOUD STORAGE " sheetId="12" r:id="rId8"/>
    <sheet name="NOVEMBER APPLE MUSIC" sheetId="4" r:id="rId9"/>
    <sheet name="NOVEMBER APPLE MUSIC EXPENSES" sheetId="7" r:id="rId10"/>
    <sheet name="2024 &amp; BAD RECORDS" sheetId="6" r:id="rId11"/>
  </sheets>
  <definedNames>
    <definedName name="_xlnm._FilterDatabase" localSheetId="6" hidden="1">'DSTV CUSTOMERS'!$A$1:$I$1</definedName>
    <definedName name="_xlnm._FilterDatabase" localSheetId="7" hidden="1">'ICLOUD STORAGE '!$C$1:$I$1</definedName>
    <definedName name="_xlnm._FilterDatabase" localSheetId="8" hidden="1">'NOVEMBER APPLE MUSIC'!$A$1:$J$51</definedName>
    <definedName name="_xlnm._FilterDatabase" localSheetId="5" hidden="1">'PRIME VIDEO'!$A$1:$I$1</definedName>
    <definedName name="_xlnm._FilterDatabase" localSheetId="4" hidden="1">SPOTIFY!$A$1:$J$1</definedName>
    <definedName name="_xlnm._FilterDatabase" localSheetId="2" hidden="1">'Total Customer Apple Music'!$A$1:$K$1</definedName>
    <definedName name="APPLE_MUSIC_EXPENSES">'NOVEMBER APPLE MUSIC EXPENSES'!$I$4</definedName>
  </definedNames>
  <calcPr calcId="191029"/>
  <pivotCaches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7" l="1"/>
  <c r="I16" i="7"/>
  <c r="F16" i="7"/>
  <c r="F8" i="7"/>
  <c r="F4" i="7"/>
  <c r="F12" i="7"/>
  <c r="E33" i="5"/>
  <c r="D33" i="5"/>
  <c r="E23" i="5"/>
  <c r="E22" i="5"/>
  <c r="D22" i="5"/>
  <c r="E39" i="5"/>
  <c r="E38" i="5"/>
  <c r="E27" i="5"/>
  <c r="D27" i="5"/>
  <c r="F60" i="2"/>
  <c r="C38" i="5"/>
  <c r="C39" i="5"/>
  <c r="C33" i="5"/>
  <c r="C34" i="5"/>
  <c r="C23" i="5"/>
  <c r="C22" i="5"/>
  <c r="G3" i="13"/>
  <c r="H3" i="13" s="1"/>
  <c r="I3" i="13" s="1"/>
  <c r="G4" i="13"/>
  <c r="H4" i="13" s="1"/>
  <c r="I4" i="13" s="1"/>
  <c r="G5" i="13"/>
  <c r="H5" i="13" s="1"/>
  <c r="I5" i="13" s="1"/>
  <c r="G6" i="13"/>
  <c r="H6" i="13" s="1"/>
  <c r="I6" i="13" s="1"/>
  <c r="G2" i="13"/>
  <c r="H2" i="13" s="1"/>
  <c r="I2" i="13" s="1"/>
  <c r="G4" i="12"/>
  <c r="H4" i="12" s="1"/>
  <c r="G5" i="12"/>
  <c r="H5" i="12" s="1"/>
  <c r="I5" i="12" s="1"/>
  <c r="G6" i="12"/>
  <c r="H6" i="12" s="1"/>
  <c r="I6" i="12" s="1"/>
  <c r="G8" i="12"/>
  <c r="H8" i="12" s="1"/>
  <c r="I8" i="12" s="1"/>
  <c r="G9" i="12"/>
  <c r="H9" i="12" s="1"/>
  <c r="I9" i="12" s="1"/>
  <c r="G3" i="12"/>
  <c r="H3" i="12" s="1"/>
  <c r="I3" i="12" s="1"/>
  <c r="G7" i="12"/>
  <c r="H7" i="12" s="1"/>
  <c r="I7" i="12" s="1"/>
  <c r="G10" i="12"/>
  <c r="H10" i="12" s="1"/>
  <c r="I10" i="12" s="1"/>
  <c r="G11" i="12"/>
  <c r="H11" i="12" s="1"/>
  <c r="I11" i="12" s="1"/>
  <c r="G12" i="12"/>
  <c r="H12" i="12" s="1"/>
  <c r="I12" i="12" s="1"/>
  <c r="G13" i="12"/>
  <c r="H13" i="12" s="1"/>
  <c r="I13" i="12" s="1"/>
  <c r="G2" i="12"/>
  <c r="H2" i="12" s="1"/>
  <c r="I2" i="12" s="1"/>
  <c r="C28" i="5"/>
  <c r="G3" i="11"/>
  <c r="H3" i="11" s="1"/>
  <c r="I3" i="11" s="1"/>
  <c r="G4" i="11"/>
  <c r="H4" i="11" s="1"/>
  <c r="I4" i="11" s="1"/>
  <c r="G5" i="11"/>
  <c r="H5" i="11" s="1"/>
  <c r="I5" i="11" s="1"/>
  <c r="G6" i="11"/>
  <c r="H6" i="11" s="1"/>
  <c r="I6" i="11" s="1"/>
  <c r="G7" i="11"/>
  <c r="H7" i="11" s="1"/>
  <c r="I7" i="11" s="1"/>
  <c r="G8" i="11"/>
  <c r="H8" i="11" s="1"/>
  <c r="I8" i="11" s="1"/>
  <c r="G9" i="11"/>
  <c r="H9" i="11" s="1"/>
  <c r="I9" i="11" s="1"/>
  <c r="G10" i="11"/>
  <c r="H10" i="11" s="1"/>
  <c r="I10" i="11" s="1"/>
  <c r="G11" i="11"/>
  <c r="H11" i="11" s="1"/>
  <c r="I11" i="11" s="1"/>
  <c r="G12" i="11"/>
  <c r="H12" i="11" s="1"/>
  <c r="G13" i="11"/>
  <c r="H13" i="11" s="1"/>
  <c r="G2" i="11"/>
  <c r="H2" i="11" s="1"/>
  <c r="H24" i="10"/>
  <c r="H23" i="10"/>
  <c r="I23" i="10" s="1"/>
  <c r="H22" i="10"/>
  <c r="H21" i="10"/>
  <c r="I21" i="10" s="1"/>
  <c r="H20" i="10"/>
  <c r="I20" i="10" s="1"/>
  <c r="H19" i="10"/>
  <c r="I19" i="10" s="1"/>
  <c r="H18" i="10"/>
  <c r="I18" i="10" s="1"/>
  <c r="H17" i="10"/>
  <c r="H16" i="10"/>
  <c r="H15" i="10"/>
  <c r="I15" i="10" s="1"/>
  <c r="H14" i="10"/>
  <c r="H13" i="10"/>
  <c r="I13" i="10" s="1"/>
  <c r="H12" i="10"/>
  <c r="I12" i="10" s="1"/>
  <c r="H11" i="10"/>
  <c r="H10" i="10"/>
  <c r="H9" i="10"/>
  <c r="I9" i="10" s="1"/>
  <c r="H8" i="10"/>
  <c r="I8" i="10" s="1"/>
  <c r="H7" i="10"/>
  <c r="I7" i="10" s="1"/>
  <c r="H6" i="10"/>
  <c r="I6" i="10" s="1"/>
  <c r="H5" i="10"/>
  <c r="H4" i="10"/>
  <c r="H3" i="10"/>
  <c r="H2" i="10"/>
  <c r="D17" i="5"/>
  <c r="D15" i="5"/>
  <c r="B29" i="7"/>
  <c r="I4" i="7"/>
  <c r="I4" i="12" l="1"/>
  <c r="I13" i="11"/>
  <c r="I12" i="11"/>
  <c r="I2" i="11"/>
  <c r="J9" i="10"/>
  <c r="J15" i="10"/>
  <c r="I14" i="10"/>
  <c r="J14" i="10" s="1"/>
  <c r="J8" i="10"/>
  <c r="J23" i="10"/>
  <c r="J12" i="10"/>
  <c r="J18" i="10"/>
  <c r="I24" i="10"/>
  <c r="J24" i="10" s="1"/>
  <c r="I17" i="10"/>
  <c r="J17" i="10" s="1"/>
  <c r="I11" i="10"/>
  <c r="J11" i="10" s="1"/>
  <c r="I5" i="10"/>
  <c r="J5" i="10" s="1"/>
  <c r="J6" i="10"/>
  <c r="J13" i="10"/>
  <c r="J19" i="10"/>
  <c r="I10" i="10"/>
  <c r="J10" i="10" s="1"/>
  <c r="I4" i="10"/>
  <c r="J4" i="10" s="1"/>
  <c r="J7" i="10"/>
  <c r="J20" i="10"/>
  <c r="I22" i="10"/>
  <c r="J22" i="10" s="1"/>
  <c r="I16" i="10"/>
  <c r="J16" i="10" s="1"/>
  <c r="I3" i="10"/>
  <c r="J3" i="10" s="1"/>
  <c r="I2" i="10"/>
  <c r="J2" i="10" s="1"/>
  <c r="J21" i="10"/>
  <c r="H51" i="4"/>
  <c r="I51" i="4" s="1"/>
  <c r="J51" i="4" s="1"/>
  <c r="B51" i="4"/>
  <c r="H50" i="4"/>
  <c r="I50" i="4" s="1"/>
  <c r="J50" i="4" s="1"/>
  <c r="B50" i="4"/>
  <c r="H49" i="4"/>
  <c r="I49" i="4" s="1"/>
  <c r="J49" i="4" s="1"/>
  <c r="B49" i="4"/>
  <c r="H48" i="4"/>
  <c r="I48" i="4" s="1"/>
  <c r="J48" i="4" s="1"/>
  <c r="B48" i="4"/>
  <c r="H47" i="4"/>
  <c r="I47" i="4" s="1"/>
  <c r="J47" i="4" s="1"/>
  <c r="B47" i="4"/>
  <c r="H46" i="4"/>
  <c r="I46" i="4" s="1"/>
  <c r="J46" i="4" s="1"/>
  <c r="B46" i="4"/>
  <c r="H45" i="4"/>
  <c r="I45" i="4" s="1"/>
  <c r="J45" i="4" s="1"/>
  <c r="B45" i="4"/>
  <c r="H44" i="4"/>
  <c r="I44" i="4" s="1"/>
  <c r="J44" i="4" s="1"/>
  <c r="B44" i="4"/>
  <c r="H43" i="4"/>
  <c r="I43" i="4" s="1"/>
  <c r="J43" i="4" s="1"/>
  <c r="B43" i="4"/>
  <c r="H42" i="4"/>
  <c r="I42" i="4" s="1"/>
  <c r="J42" i="4" s="1"/>
  <c r="B42" i="4"/>
  <c r="H41" i="4"/>
  <c r="I41" i="4" s="1"/>
  <c r="J41" i="4" s="1"/>
  <c r="B41" i="4"/>
  <c r="H40" i="4"/>
  <c r="I40" i="4" s="1"/>
  <c r="J40" i="4" s="1"/>
  <c r="B40" i="4"/>
  <c r="H39" i="4"/>
  <c r="I39" i="4" s="1"/>
  <c r="J39" i="4" s="1"/>
  <c r="B39" i="4"/>
  <c r="H38" i="4"/>
  <c r="I38" i="4" s="1"/>
  <c r="J38" i="4" s="1"/>
  <c r="B38" i="4"/>
  <c r="H37" i="4"/>
  <c r="I37" i="4" s="1"/>
  <c r="J37" i="4" s="1"/>
  <c r="B37" i="4"/>
  <c r="H36" i="4"/>
  <c r="I36" i="4" s="1"/>
  <c r="J36" i="4" s="1"/>
  <c r="B36" i="4"/>
  <c r="H35" i="4"/>
  <c r="I35" i="4" s="1"/>
  <c r="J35" i="4" s="1"/>
  <c r="B35" i="4"/>
  <c r="H34" i="4"/>
  <c r="I34" i="4" s="1"/>
  <c r="J34" i="4" s="1"/>
  <c r="B34" i="4"/>
  <c r="H33" i="4"/>
  <c r="I33" i="4" s="1"/>
  <c r="J33" i="4" s="1"/>
  <c r="B33" i="4"/>
  <c r="H32" i="4"/>
  <c r="I32" i="4" s="1"/>
  <c r="J32" i="4" s="1"/>
  <c r="B32" i="4"/>
  <c r="H31" i="4"/>
  <c r="I31" i="4" s="1"/>
  <c r="J31" i="4" s="1"/>
  <c r="B31" i="4"/>
  <c r="H30" i="4"/>
  <c r="I30" i="4" s="1"/>
  <c r="J30" i="4" s="1"/>
  <c r="B30" i="4"/>
  <c r="H29" i="4"/>
  <c r="I29" i="4" s="1"/>
  <c r="J29" i="4" s="1"/>
  <c r="B29" i="4"/>
  <c r="H28" i="4"/>
  <c r="I28" i="4" s="1"/>
  <c r="J28" i="4" s="1"/>
  <c r="B28" i="4"/>
  <c r="H27" i="4"/>
  <c r="I27" i="4" s="1"/>
  <c r="J27" i="4" s="1"/>
  <c r="B27" i="4"/>
  <c r="H26" i="4"/>
  <c r="I26" i="4" s="1"/>
  <c r="J26" i="4" s="1"/>
  <c r="B26" i="4"/>
  <c r="H25" i="4"/>
  <c r="I25" i="4" s="1"/>
  <c r="J25" i="4" s="1"/>
  <c r="B25" i="4"/>
  <c r="H24" i="4"/>
  <c r="I24" i="4" s="1"/>
  <c r="J24" i="4" s="1"/>
  <c r="B24" i="4"/>
  <c r="H23" i="4"/>
  <c r="I23" i="4" s="1"/>
  <c r="J23" i="4" s="1"/>
  <c r="B23" i="4"/>
  <c r="H22" i="4"/>
  <c r="I22" i="4" s="1"/>
  <c r="J22" i="4" s="1"/>
  <c r="B22" i="4"/>
  <c r="H21" i="4"/>
  <c r="I21" i="4" s="1"/>
  <c r="J21" i="4" s="1"/>
  <c r="B21" i="4"/>
  <c r="H20" i="4"/>
  <c r="I20" i="4" s="1"/>
  <c r="J20" i="4" s="1"/>
  <c r="B20" i="4"/>
  <c r="H19" i="4"/>
  <c r="I19" i="4" s="1"/>
  <c r="J19" i="4" s="1"/>
  <c r="B19" i="4"/>
  <c r="H18" i="4"/>
  <c r="I18" i="4" s="1"/>
  <c r="J18" i="4" s="1"/>
  <c r="B18" i="4"/>
  <c r="H17" i="4"/>
  <c r="I17" i="4" s="1"/>
  <c r="J17" i="4" s="1"/>
  <c r="B17" i="4"/>
  <c r="H16" i="4"/>
  <c r="I16" i="4" s="1"/>
  <c r="J16" i="4" s="1"/>
  <c r="B16" i="4"/>
  <c r="H15" i="4"/>
  <c r="I15" i="4" s="1"/>
  <c r="J15" i="4" s="1"/>
  <c r="F15" i="4"/>
  <c r="B15" i="4"/>
  <c r="H14" i="4"/>
  <c r="I14" i="4" s="1"/>
  <c r="J14" i="4" s="1"/>
  <c r="B14" i="4"/>
  <c r="H13" i="4"/>
  <c r="I13" i="4" s="1"/>
  <c r="J13" i="4" s="1"/>
  <c r="B13" i="4"/>
  <c r="H12" i="4"/>
  <c r="I12" i="4" s="1"/>
  <c r="J12" i="4" s="1"/>
  <c r="B12" i="4"/>
  <c r="H11" i="4"/>
  <c r="I11" i="4" s="1"/>
  <c r="J11" i="4" s="1"/>
  <c r="B11" i="4"/>
  <c r="H10" i="4"/>
  <c r="I10" i="4" s="1"/>
  <c r="J10" i="4" s="1"/>
  <c r="B10" i="4"/>
  <c r="H9" i="4"/>
  <c r="I9" i="4" s="1"/>
  <c r="J9" i="4" s="1"/>
  <c r="B9" i="4"/>
  <c r="H8" i="4"/>
  <c r="I8" i="4" s="1"/>
  <c r="J8" i="4" s="1"/>
  <c r="B8" i="4"/>
  <c r="H7" i="4"/>
  <c r="B7" i="4"/>
  <c r="H6" i="4"/>
  <c r="I6" i="4" s="1"/>
  <c r="J6" i="4" s="1"/>
  <c r="B6" i="4"/>
  <c r="H5" i="4"/>
  <c r="I5" i="4" s="1"/>
  <c r="J5" i="4" s="1"/>
  <c r="B5" i="4"/>
  <c r="H4" i="4"/>
  <c r="I4" i="4" s="1"/>
  <c r="J4" i="4" s="1"/>
  <c r="B4" i="4"/>
  <c r="H3" i="4"/>
  <c r="I3" i="4" s="1"/>
  <c r="J3" i="4" s="1"/>
  <c r="B3" i="4"/>
  <c r="H2" i="4"/>
  <c r="I2" i="4" s="1"/>
  <c r="J2" i="4" s="1"/>
  <c r="B2" i="4"/>
  <c r="H10" i="6"/>
  <c r="I10" i="6" s="1"/>
  <c r="J10" i="6" s="1"/>
  <c r="B10" i="6"/>
  <c r="H9" i="6"/>
  <c r="I9" i="6" s="1"/>
  <c r="J9" i="6" s="1"/>
  <c r="H8" i="6"/>
  <c r="I8" i="6" s="1"/>
  <c r="J8" i="6" s="1"/>
  <c r="H7" i="6"/>
  <c r="I7" i="6" s="1"/>
  <c r="J7" i="6" s="1"/>
  <c r="B7" i="6"/>
  <c r="H6" i="6"/>
  <c r="I6" i="6" s="1"/>
  <c r="J6" i="6" s="1"/>
  <c r="J5" i="6"/>
  <c r="H5" i="6"/>
  <c r="J4" i="6"/>
  <c r="H4" i="6"/>
  <c r="H3" i="6"/>
  <c r="I3" i="6" s="1"/>
  <c r="J3" i="6" s="1"/>
  <c r="B3" i="6"/>
  <c r="H2" i="6"/>
  <c r="I2" i="6" s="1"/>
  <c r="J2" i="6" s="1"/>
  <c r="B2" i="6"/>
  <c r="B56" i="1"/>
  <c r="H56" i="1"/>
  <c r="I56" i="1" s="1"/>
  <c r="J56" i="1" s="1"/>
  <c r="B57" i="1"/>
  <c r="H57" i="1"/>
  <c r="I57" i="1" s="1"/>
  <c r="J57" i="1" s="1"/>
  <c r="B58" i="1"/>
  <c r="H58" i="1"/>
  <c r="I58" i="1" s="1"/>
  <c r="J58" i="1" s="1"/>
  <c r="B59" i="1"/>
  <c r="H59" i="1"/>
  <c r="I59" i="1" s="1"/>
  <c r="J59" i="1" s="1"/>
  <c r="B60" i="1"/>
  <c r="H60" i="1"/>
  <c r="I60" i="1" s="1"/>
  <c r="J60" i="1" s="1"/>
  <c r="B61" i="1"/>
  <c r="H61" i="1"/>
  <c r="I61" i="1" s="1"/>
  <c r="J61" i="1" s="1"/>
  <c r="B62" i="1"/>
  <c r="H62" i="1"/>
  <c r="I62" i="1" s="1"/>
  <c r="J62" i="1" s="1"/>
  <c r="B63" i="1"/>
  <c r="F63" i="1"/>
  <c r="H63" i="1"/>
  <c r="I63" i="1" s="1"/>
  <c r="J63" i="1" s="1"/>
  <c r="B64" i="1"/>
  <c r="H64" i="1"/>
  <c r="I64" i="1" s="1"/>
  <c r="J64" i="1" s="1"/>
  <c r="B65" i="1"/>
  <c r="H65" i="1"/>
  <c r="I65" i="1" s="1"/>
  <c r="J65" i="1" s="1"/>
  <c r="B66" i="1"/>
  <c r="H66" i="1"/>
  <c r="I66" i="1" s="1"/>
  <c r="J66" i="1" s="1"/>
  <c r="H67" i="1"/>
  <c r="I67" i="1" s="1"/>
  <c r="J67" i="1" s="1"/>
  <c r="B68" i="1"/>
  <c r="H68" i="1"/>
  <c r="I68" i="1" s="1"/>
  <c r="J68" i="1" s="1"/>
  <c r="B69" i="1"/>
  <c r="H69" i="1"/>
  <c r="I69" i="1" s="1"/>
  <c r="J69" i="1" s="1"/>
  <c r="B70" i="1"/>
  <c r="H70" i="1"/>
  <c r="I70" i="1" s="1"/>
  <c r="J70" i="1" s="1"/>
  <c r="B71" i="1"/>
  <c r="H71" i="1"/>
  <c r="I71" i="1" s="1"/>
  <c r="J71" i="1" s="1"/>
  <c r="B72" i="1"/>
  <c r="H72" i="1"/>
  <c r="I72" i="1" s="1"/>
  <c r="J72" i="1" s="1"/>
  <c r="B73" i="1"/>
  <c r="H73" i="1"/>
  <c r="I73" i="1" s="1"/>
  <c r="J73" i="1" s="1"/>
  <c r="B74" i="1"/>
  <c r="H74" i="1"/>
  <c r="I74" i="1" s="1"/>
  <c r="J74" i="1" s="1"/>
  <c r="B75" i="1"/>
  <c r="H75" i="1"/>
  <c r="I75" i="1" s="1"/>
  <c r="J75" i="1" s="1"/>
  <c r="B76" i="1"/>
  <c r="H76" i="1"/>
  <c r="I76" i="1" s="1"/>
  <c r="J76" i="1" s="1"/>
  <c r="B77" i="1"/>
  <c r="H77" i="1"/>
  <c r="I77" i="1" s="1"/>
  <c r="J77" i="1" s="1"/>
  <c r="B78" i="1"/>
  <c r="H78" i="1"/>
  <c r="I78" i="1" s="1"/>
  <c r="J78" i="1" s="1"/>
  <c r="B79" i="1"/>
  <c r="H79" i="1"/>
  <c r="I79" i="1" s="1"/>
  <c r="J79" i="1" s="1"/>
  <c r="B80" i="1"/>
  <c r="H80" i="1"/>
  <c r="I80" i="1" s="1"/>
  <c r="J80" i="1" s="1"/>
  <c r="B81" i="1"/>
  <c r="H81" i="1"/>
  <c r="I81" i="1" s="1"/>
  <c r="J81" i="1" s="1"/>
  <c r="B82" i="1"/>
  <c r="H82" i="1"/>
  <c r="I82" i="1" s="1"/>
  <c r="J82" i="1" s="1"/>
  <c r="B83" i="1"/>
  <c r="H83" i="1"/>
  <c r="I83" i="1" s="1"/>
  <c r="J83" i="1" s="1"/>
  <c r="H84" i="1"/>
  <c r="I84" i="1" s="1"/>
  <c r="J84" i="1" s="1"/>
  <c r="B85" i="1"/>
  <c r="H85" i="1"/>
  <c r="I85" i="1" s="1"/>
  <c r="J85" i="1" s="1"/>
  <c r="B86" i="1"/>
  <c r="H86" i="1"/>
  <c r="I86" i="1" s="1"/>
  <c r="J86" i="1" s="1"/>
  <c r="B87" i="1"/>
  <c r="H87" i="1"/>
  <c r="I87" i="1" s="1"/>
  <c r="J87" i="1" s="1"/>
  <c r="B88" i="1"/>
  <c r="H88" i="1"/>
  <c r="I88" i="1" s="1"/>
  <c r="J88" i="1" s="1"/>
  <c r="B89" i="1"/>
  <c r="H89" i="1"/>
  <c r="I89" i="1" s="1"/>
  <c r="J89" i="1" s="1"/>
  <c r="B90" i="1"/>
  <c r="H90" i="1"/>
  <c r="I90" i="1" s="1"/>
  <c r="J90" i="1" s="1"/>
  <c r="B91" i="1"/>
  <c r="H91" i="1"/>
  <c r="I91" i="1" s="1"/>
  <c r="J91" i="1" s="1"/>
  <c r="B92" i="1"/>
  <c r="H92" i="1"/>
  <c r="I92" i="1" s="1"/>
  <c r="J92" i="1" s="1"/>
  <c r="H93" i="1"/>
  <c r="I93" i="1" s="1"/>
  <c r="J93" i="1" s="1"/>
  <c r="B94" i="1"/>
  <c r="H94" i="1"/>
  <c r="I94" i="1" s="1"/>
  <c r="J94" i="1" s="1"/>
  <c r="B95" i="1"/>
  <c r="H95" i="1"/>
  <c r="I95" i="1" s="1"/>
  <c r="J95" i="1" s="1"/>
  <c r="B96" i="1"/>
  <c r="H96" i="1"/>
  <c r="I96" i="1" s="1"/>
  <c r="J96" i="1" s="1"/>
  <c r="B97" i="1"/>
  <c r="H97" i="1"/>
  <c r="I97" i="1" s="1"/>
  <c r="J97" i="1" s="1"/>
  <c r="B98" i="1"/>
  <c r="H98" i="1"/>
  <c r="I98" i="1" s="1"/>
  <c r="J98" i="1" s="1"/>
  <c r="H99" i="1"/>
  <c r="I99" i="1" s="1"/>
  <c r="J99" i="1" s="1"/>
  <c r="B100" i="1"/>
  <c r="H100" i="1"/>
  <c r="I100" i="1" s="1"/>
  <c r="J100" i="1" s="1"/>
  <c r="B101" i="1"/>
  <c r="H101" i="1"/>
  <c r="I101" i="1" s="1"/>
  <c r="J101" i="1" s="1"/>
  <c r="B102" i="1"/>
  <c r="H102" i="1"/>
  <c r="I102" i="1" s="1"/>
  <c r="J102" i="1" s="1"/>
  <c r="B103" i="1"/>
  <c r="H103" i="1"/>
  <c r="I103" i="1" s="1"/>
  <c r="J103" i="1" s="1"/>
  <c r="B104" i="1"/>
  <c r="H104" i="1"/>
  <c r="I104" i="1" s="1"/>
  <c r="J104" i="1" s="1"/>
  <c r="B105" i="1"/>
  <c r="H105" i="1"/>
  <c r="I105" i="1" s="1"/>
  <c r="J105" i="1" s="1"/>
  <c r="B106" i="1"/>
  <c r="H106" i="1"/>
  <c r="I106" i="1" s="1"/>
  <c r="J106" i="1" s="1"/>
  <c r="B107" i="1"/>
  <c r="H107" i="1"/>
  <c r="I107" i="1" s="1"/>
  <c r="J107" i="1" s="1"/>
  <c r="B108" i="1"/>
  <c r="H108" i="1"/>
  <c r="I108" i="1" s="1"/>
  <c r="J108" i="1" s="1"/>
  <c r="B109" i="1"/>
  <c r="H109" i="1"/>
  <c r="I109" i="1" s="1"/>
  <c r="J109" i="1" s="1"/>
  <c r="B110" i="1"/>
  <c r="H110" i="1"/>
  <c r="I110" i="1" s="1"/>
  <c r="J110" i="1" s="1"/>
  <c r="B111" i="1"/>
  <c r="H111" i="1"/>
  <c r="I111" i="1" s="1"/>
  <c r="J111" i="1" s="1"/>
  <c r="B112" i="1"/>
  <c r="H112" i="1"/>
  <c r="I112" i="1" s="1"/>
  <c r="J112" i="1" s="1"/>
  <c r="B113" i="1"/>
  <c r="H113" i="1"/>
  <c r="I113" i="1" s="1"/>
  <c r="J113" i="1" s="1"/>
  <c r="B114" i="1"/>
  <c r="H114" i="1"/>
  <c r="I114" i="1" s="1"/>
  <c r="J114" i="1" s="1"/>
  <c r="B115" i="1"/>
  <c r="H115" i="1"/>
  <c r="I115" i="1" s="1"/>
  <c r="J115" i="1" s="1"/>
  <c r="B116" i="1"/>
  <c r="H116" i="1"/>
  <c r="I116" i="1" s="1"/>
  <c r="J116" i="1" s="1"/>
  <c r="B117" i="1"/>
  <c r="H117" i="1"/>
  <c r="I117" i="1" s="1"/>
  <c r="J117" i="1" s="1"/>
  <c r="B118" i="1"/>
  <c r="H118" i="1"/>
  <c r="I118" i="1" s="1"/>
  <c r="J118" i="1" s="1"/>
  <c r="B119" i="1"/>
  <c r="H119" i="1"/>
  <c r="I119" i="1" s="1"/>
  <c r="J119" i="1" s="1"/>
  <c r="H120" i="1"/>
  <c r="I120" i="1" s="1"/>
  <c r="J120" i="1" s="1"/>
  <c r="B121" i="1"/>
  <c r="H121" i="1"/>
  <c r="I121" i="1" s="1"/>
  <c r="J121" i="1" s="1"/>
  <c r="B122" i="1"/>
  <c r="H122" i="1"/>
  <c r="I122" i="1" s="1"/>
  <c r="J122" i="1" s="1"/>
  <c r="B123" i="1"/>
  <c r="H123" i="1"/>
  <c r="I123" i="1" s="1"/>
  <c r="J123" i="1" s="1"/>
  <c r="B124" i="1"/>
  <c r="H124" i="1"/>
  <c r="I124" i="1" s="1"/>
  <c r="J124" i="1" s="1"/>
  <c r="B125" i="1"/>
  <c r="H125" i="1"/>
  <c r="I125" i="1" s="1"/>
  <c r="J125" i="1" s="1"/>
  <c r="B126" i="1"/>
  <c r="H126" i="1"/>
  <c r="I126" i="1" s="1"/>
  <c r="J126" i="1" s="1"/>
  <c r="B127" i="1"/>
  <c r="H127" i="1"/>
  <c r="I127" i="1" s="1"/>
  <c r="J127" i="1" s="1"/>
  <c r="B128" i="1"/>
  <c r="H128" i="1"/>
  <c r="I128" i="1" s="1"/>
  <c r="J128" i="1" s="1"/>
  <c r="B129" i="1"/>
  <c r="H129" i="1"/>
  <c r="I129" i="1" s="1"/>
  <c r="J129" i="1" s="1"/>
  <c r="B130" i="1"/>
  <c r="H130" i="1"/>
  <c r="I130" i="1" s="1"/>
  <c r="J130" i="1" s="1"/>
  <c r="B131" i="1"/>
  <c r="H131" i="1"/>
  <c r="I131" i="1" s="1"/>
  <c r="J131" i="1" s="1"/>
  <c r="B132" i="1"/>
  <c r="H132" i="1"/>
  <c r="I132" i="1" s="1"/>
  <c r="J132" i="1" s="1"/>
  <c r="B133" i="1"/>
  <c r="H133" i="1"/>
  <c r="I133" i="1" s="1"/>
  <c r="J133" i="1" s="1"/>
  <c r="H134" i="1"/>
  <c r="I134" i="1" s="1"/>
  <c r="J134" i="1" s="1"/>
  <c r="B135" i="1"/>
  <c r="H135" i="1"/>
  <c r="I135" i="1" s="1"/>
  <c r="J135" i="1" s="1"/>
  <c r="B136" i="1"/>
  <c r="H136" i="1"/>
  <c r="I136" i="1" s="1"/>
  <c r="J136" i="1" s="1"/>
  <c r="B137" i="1"/>
  <c r="H137" i="1"/>
  <c r="I137" i="1" s="1"/>
  <c r="J137" i="1" s="1"/>
  <c r="B138" i="1"/>
  <c r="H138" i="1"/>
  <c r="I138" i="1" s="1"/>
  <c r="J138" i="1" s="1"/>
  <c r="B139" i="1"/>
  <c r="H139" i="1"/>
  <c r="I139" i="1" s="1"/>
  <c r="J139" i="1" s="1"/>
  <c r="H140" i="1"/>
  <c r="I140" i="1" s="1"/>
  <c r="J140" i="1" s="1"/>
  <c r="B141" i="1"/>
  <c r="F141" i="1"/>
  <c r="H141" i="1"/>
  <c r="I141" i="1" s="1"/>
  <c r="J141" i="1" s="1"/>
  <c r="B142" i="1"/>
  <c r="H142" i="1"/>
  <c r="I142" i="1" s="1"/>
  <c r="J142" i="1" s="1"/>
  <c r="B143" i="1"/>
  <c r="H143" i="1"/>
  <c r="I143" i="1" s="1"/>
  <c r="J143" i="1" s="1"/>
  <c r="B144" i="1"/>
  <c r="H144" i="1"/>
  <c r="I144" i="1" s="1"/>
  <c r="J144" i="1" s="1"/>
  <c r="B145" i="1"/>
  <c r="H145" i="1"/>
  <c r="I145" i="1" s="1"/>
  <c r="J145" i="1" s="1"/>
  <c r="B146" i="1"/>
  <c r="H146" i="1"/>
  <c r="I146" i="1" s="1"/>
  <c r="J146" i="1" s="1"/>
  <c r="B147" i="1"/>
  <c r="H147" i="1"/>
  <c r="I147" i="1" s="1"/>
  <c r="J147" i="1" s="1"/>
  <c r="B148" i="1"/>
  <c r="H148" i="1"/>
  <c r="I148" i="1" s="1"/>
  <c r="J148" i="1" s="1"/>
  <c r="B149" i="1"/>
  <c r="H149" i="1"/>
  <c r="I149" i="1" s="1"/>
  <c r="J149" i="1" s="1"/>
  <c r="B150" i="1"/>
  <c r="H150" i="1"/>
  <c r="I150" i="1" s="1"/>
  <c r="J150" i="1" s="1"/>
  <c r="B151" i="1"/>
  <c r="H151" i="1"/>
  <c r="I151" i="1" s="1"/>
  <c r="J151" i="1" s="1"/>
  <c r="B152" i="1"/>
  <c r="H152" i="1"/>
  <c r="I152" i="1" s="1"/>
  <c r="J152" i="1" s="1"/>
  <c r="B153" i="1"/>
  <c r="H153" i="1"/>
  <c r="I153" i="1" s="1"/>
  <c r="J153" i="1" s="1"/>
  <c r="B154" i="1"/>
  <c r="H154" i="1"/>
  <c r="I154" i="1" s="1"/>
  <c r="J154" i="1" s="1"/>
  <c r="B155" i="1"/>
  <c r="H155" i="1"/>
  <c r="I155" i="1" s="1"/>
  <c r="J155" i="1" s="1"/>
  <c r="B156" i="1"/>
  <c r="H156" i="1"/>
  <c r="I156" i="1" s="1"/>
  <c r="J156" i="1" s="1"/>
  <c r="B157" i="1"/>
  <c r="H157" i="1"/>
  <c r="I157" i="1" s="1"/>
  <c r="J157" i="1" s="1"/>
  <c r="B158" i="1"/>
  <c r="H158" i="1"/>
  <c r="I158" i="1" s="1"/>
  <c r="J158" i="1" s="1"/>
  <c r="B159" i="1"/>
  <c r="H159" i="1"/>
  <c r="I159" i="1" s="1"/>
  <c r="J159" i="1" s="1"/>
  <c r="B160" i="1"/>
  <c r="H160" i="1"/>
  <c r="I160" i="1" s="1"/>
  <c r="J160" i="1" s="1"/>
  <c r="B161" i="1"/>
  <c r="H161" i="1"/>
  <c r="I161" i="1" s="1"/>
  <c r="J161" i="1" s="1"/>
  <c r="H162" i="1"/>
  <c r="I162" i="1" s="1"/>
  <c r="J162" i="1" s="1"/>
  <c r="H163" i="1"/>
  <c r="I163" i="1" s="1"/>
  <c r="J163" i="1" s="1"/>
  <c r="B164" i="1"/>
  <c r="C10" i="5" s="1"/>
  <c r="H164" i="1"/>
  <c r="I164" i="1" s="1"/>
  <c r="J164" i="1" s="1"/>
  <c r="B165" i="1"/>
  <c r="H165" i="1"/>
  <c r="I165" i="1" s="1"/>
  <c r="J165" i="1" s="1"/>
  <c r="B166" i="1"/>
  <c r="H166" i="1"/>
  <c r="I166" i="1" s="1"/>
  <c r="J166" i="1" s="1"/>
  <c r="B167" i="1"/>
  <c r="H167" i="1"/>
  <c r="I167" i="1" s="1"/>
  <c r="J167" i="1" s="1"/>
  <c r="B168" i="1"/>
  <c r="H168" i="1"/>
  <c r="I168" i="1" s="1"/>
  <c r="J168" i="1" s="1"/>
  <c r="B169" i="1"/>
  <c r="H169" i="1"/>
  <c r="I169" i="1" s="1"/>
  <c r="J169" i="1" s="1"/>
  <c r="B170" i="1"/>
  <c r="H170" i="1"/>
  <c r="I170" i="1" s="1"/>
  <c r="J170" i="1" s="1"/>
  <c r="B171" i="1"/>
  <c r="H171" i="1"/>
  <c r="I171" i="1" s="1"/>
  <c r="J171" i="1" s="1"/>
  <c r="B172" i="1"/>
  <c r="H172" i="1"/>
  <c r="I172" i="1" s="1"/>
  <c r="J172" i="1" s="1"/>
  <c r="B173" i="1"/>
  <c r="H173" i="1"/>
  <c r="I173" i="1" s="1"/>
  <c r="J173" i="1" s="1"/>
  <c r="B174" i="1"/>
  <c r="H174" i="1"/>
  <c r="I174" i="1" s="1"/>
  <c r="J174" i="1" s="1"/>
  <c r="B175" i="1"/>
  <c r="H175" i="1"/>
  <c r="I175" i="1" s="1"/>
  <c r="J175" i="1" s="1"/>
  <c r="B176" i="1"/>
  <c r="H176" i="1"/>
  <c r="I176" i="1" s="1"/>
  <c r="J176" i="1" s="1"/>
  <c r="B177" i="1"/>
  <c r="H177" i="1"/>
  <c r="I177" i="1" s="1"/>
  <c r="J177" i="1" s="1"/>
  <c r="B178" i="1"/>
  <c r="H178" i="1"/>
  <c r="I178" i="1" s="1"/>
  <c r="J178" i="1" s="1"/>
  <c r="B179" i="1"/>
  <c r="H179" i="1"/>
  <c r="I179" i="1" s="1"/>
  <c r="J179" i="1" s="1"/>
  <c r="B180" i="1"/>
  <c r="H180" i="1"/>
  <c r="I180" i="1" s="1"/>
  <c r="J180" i="1" s="1"/>
  <c r="B181" i="1"/>
  <c r="H181" i="1"/>
  <c r="I181" i="1" s="1"/>
  <c r="J181" i="1" s="1"/>
  <c r="B182" i="1"/>
  <c r="H182" i="1"/>
  <c r="I182" i="1" s="1"/>
  <c r="J182" i="1" s="1"/>
  <c r="B183" i="1"/>
  <c r="H183" i="1"/>
  <c r="I183" i="1" s="1"/>
  <c r="J183" i="1" s="1"/>
  <c r="B184" i="1"/>
  <c r="H184" i="1"/>
  <c r="I184" i="1" s="1"/>
  <c r="J184" i="1" s="1"/>
  <c r="B185" i="1"/>
  <c r="H185" i="1"/>
  <c r="I185" i="1" s="1"/>
  <c r="J185" i="1" s="1"/>
  <c r="B186" i="1"/>
  <c r="H186" i="1"/>
  <c r="I186" i="1" s="1"/>
  <c r="J186" i="1" s="1"/>
  <c r="B187" i="1"/>
  <c r="H187" i="1"/>
  <c r="I187" i="1" s="1"/>
  <c r="J187" i="1" s="1"/>
  <c r="B188" i="1"/>
  <c r="H188" i="1"/>
  <c r="I188" i="1" s="1"/>
  <c r="J188" i="1" s="1"/>
  <c r="B189" i="1"/>
  <c r="H189" i="1"/>
  <c r="I189" i="1" s="1"/>
  <c r="J189" i="1" s="1"/>
  <c r="B190" i="1"/>
  <c r="H190" i="1"/>
  <c r="I190" i="1" s="1"/>
  <c r="J190" i="1" s="1"/>
  <c r="B191" i="1"/>
  <c r="H191" i="1"/>
  <c r="I191" i="1" s="1"/>
  <c r="J191" i="1" s="1"/>
  <c r="B192" i="1"/>
  <c r="H192" i="1"/>
  <c r="I192" i="1" s="1"/>
  <c r="J192" i="1" s="1"/>
  <c r="B193" i="1"/>
  <c r="H193" i="1"/>
  <c r="I193" i="1" s="1"/>
  <c r="J193" i="1" s="1"/>
  <c r="B194" i="1"/>
  <c r="H194" i="1"/>
  <c r="I194" i="1" s="1"/>
  <c r="J194" i="1" s="1"/>
  <c r="B195" i="1"/>
  <c r="H195" i="1"/>
  <c r="I195" i="1" s="1"/>
  <c r="J195" i="1" s="1"/>
  <c r="B196" i="1"/>
  <c r="H196" i="1"/>
  <c r="I196" i="1" s="1"/>
  <c r="J196" i="1" s="1"/>
  <c r="B197" i="1"/>
  <c r="H197" i="1"/>
  <c r="I197" i="1" s="1"/>
  <c r="J197" i="1" s="1"/>
  <c r="B198" i="1"/>
  <c r="H198" i="1"/>
  <c r="I198" i="1" s="1"/>
  <c r="J198" i="1" s="1"/>
  <c r="B199" i="1"/>
  <c r="H199" i="1"/>
  <c r="I199" i="1" s="1"/>
  <c r="J199" i="1" s="1"/>
  <c r="H200" i="1"/>
  <c r="I200" i="1" s="1"/>
  <c r="J200" i="1" s="1"/>
  <c r="B201" i="1"/>
  <c r="H201" i="1"/>
  <c r="I201" i="1" s="1"/>
  <c r="J201" i="1" s="1"/>
  <c r="B202" i="1"/>
  <c r="H202" i="1"/>
  <c r="I202" i="1" s="1"/>
  <c r="J202" i="1" s="1"/>
  <c r="B203" i="1"/>
  <c r="H203" i="1"/>
  <c r="I203" i="1" s="1"/>
  <c r="J203" i="1" s="1"/>
  <c r="B204" i="1"/>
  <c r="C5" i="5" s="1"/>
  <c r="H204" i="1"/>
  <c r="I204" i="1" s="1"/>
  <c r="J204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2" i="1"/>
  <c r="C16" i="5" s="1"/>
  <c r="M13" i="2"/>
  <c r="M12" i="2"/>
  <c r="M11" i="2"/>
  <c r="G12" i="2"/>
  <c r="G13" i="2"/>
  <c r="G11" i="2"/>
  <c r="H3" i="1"/>
  <c r="I3" i="1" s="1"/>
  <c r="J3" i="1" s="1"/>
  <c r="H4" i="1"/>
  <c r="I4" i="1" s="1"/>
  <c r="J4" i="1" s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 s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J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41" i="1"/>
  <c r="I41" i="1" s="1"/>
  <c r="J41" i="1" s="1"/>
  <c r="H42" i="1"/>
  <c r="I42" i="1" s="1"/>
  <c r="J42" i="1" s="1"/>
  <c r="H43" i="1"/>
  <c r="I43" i="1" s="1"/>
  <c r="J43" i="1" s="1"/>
  <c r="H44" i="1"/>
  <c r="I44" i="1" s="1"/>
  <c r="J44" i="1" s="1"/>
  <c r="H45" i="1"/>
  <c r="I45" i="1" s="1"/>
  <c r="J45" i="1" s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 s="1"/>
  <c r="J50" i="1" s="1"/>
  <c r="H51" i="1"/>
  <c r="I51" i="1" s="1"/>
  <c r="J51" i="1" s="1"/>
  <c r="H52" i="1"/>
  <c r="I52" i="1" s="1"/>
  <c r="J52" i="1" s="1"/>
  <c r="H53" i="1"/>
  <c r="I53" i="1" s="1"/>
  <c r="J53" i="1" s="1"/>
  <c r="H54" i="1"/>
  <c r="I54" i="1" s="1"/>
  <c r="J54" i="1" s="1"/>
  <c r="H55" i="1"/>
  <c r="I55" i="1" s="1"/>
  <c r="J55" i="1" s="1"/>
  <c r="H2" i="1"/>
  <c r="I2" i="1" s="1"/>
  <c r="J2" i="1" s="1"/>
  <c r="F19" i="1"/>
  <c r="C6" i="5" l="1"/>
  <c r="C7" i="5"/>
  <c r="C9" i="5"/>
  <c r="C14" i="5"/>
  <c r="C12" i="5"/>
  <c r="C15" i="5"/>
  <c r="E15" i="5" s="1"/>
  <c r="E17" i="5" s="1"/>
  <c r="C13" i="5"/>
  <c r="C11" i="5"/>
  <c r="C8" i="5"/>
  <c r="C17" i="5" s="1"/>
  <c r="I7" i="4"/>
  <c r="J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MALUNGA CHITALU</author>
  </authors>
  <commentList>
    <comment ref="I4" authorId="0" shapeId="0" xr:uid="{C14CBDE7-1FED-4DB4-9C5F-617B78A0D73D}">
      <text>
        <r>
          <rPr>
            <b/>
            <sz val="9"/>
            <color indexed="81"/>
            <rFont val="Tahoma"/>
            <family val="2"/>
          </rPr>
          <t>MALUNGA CHITALU:</t>
        </r>
        <r>
          <rPr>
            <sz val="9"/>
            <color indexed="81"/>
            <rFont val="Tahoma"/>
            <family val="2"/>
          </rPr>
          <t xml:space="preserve">
NOTE: NOVEMBER SALES ARE DISCOUNTED</t>
        </r>
      </text>
    </comment>
  </commentList>
</comments>
</file>

<file path=xl/sharedStrings.xml><?xml version="1.0" encoding="utf-8"?>
<sst xmlns="http://schemas.openxmlformats.org/spreadsheetml/2006/main" count="1127" uniqueCount="501">
  <si>
    <t xml:space="preserve">Months </t>
  </si>
  <si>
    <t xml:space="preserve">Family </t>
  </si>
  <si>
    <t xml:space="preserve">Paid date </t>
  </si>
  <si>
    <t xml:space="preserve">Expire date </t>
  </si>
  <si>
    <t xml:space="preserve">Number </t>
  </si>
  <si>
    <t xml:space="preserve">Name </t>
  </si>
  <si>
    <t>Ziko</t>
  </si>
  <si>
    <t>Joy</t>
  </si>
  <si>
    <t xml:space="preserve">Vanessa </t>
  </si>
  <si>
    <t xml:space="preserve">Jacobo </t>
  </si>
  <si>
    <t xml:space="preserve">Kauti </t>
  </si>
  <si>
    <t>Mukoma</t>
  </si>
  <si>
    <t>097 2159192</t>
  </si>
  <si>
    <t>Nelson Malunga</t>
  </si>
  <si>
    <t>Chipo x</t>
  </si>
  <si>
    <t xml:space="preserve">Joshua </t>
  </si>
  <si>
    <t>Joshua Harawa</t>
  </si>
  <si>
    <t>Ray</t>
  </si>
  <si>
    <t>Khondwa</t>
  </si>
  <si>
    <t>Caleb</t>
  </si>
  <si>
    <t xml:space="preserve">Samantha </t>
  </si>
  <si>
    <t xml:space="preserve">Nangoma </t>
  </si>
  <si>
    <t xml:space="preserve">Mwiche </t>
  </si>
  <si>
    <t>Mwita</t>
  </si>
  <si>
    <t xml:space="preserve">Agness </t>
  </si>
  <si>
    <t>Tinashe</t>
  </si>
  <si>
    <t>097 5274087</t>
  </si>
  <si>
    <t>Mwenda</t>
  </si>
  <si>
    <t>Hussan</t>
  </si>
  <si>
    <t>Mukuka Bwalya</t>
  </si>
  <si>
    <t>Jack</t>
  </si>
  <si>
    <t>097 6548803</t>
  </si>
  <si>
    <t xml:space="preserve">Fridah </t>
  </si>
  <si>
    <t>97 3653951</t>
  </si>
  <si>
    <t>Chen</t>
  </si>
  <si>
    <t>Nangoma</t>
  </si>
  <si>
    <t>Princes</t>
  </si>
  <si>
    <t>Bongani</t>
  </si>
  <si>
    <t xml:space="preserve">Bongani </t>
  </si>
  <si>
    <t xml:space="preserve">Chiluba </t>
  </si>
  <si>
    <t xml:space="preserve">Kasonde </t>
  </si>
  <si>
    <t>Kajila</t>
  </si>
  <si>
    <t xml:space="preserve">Kajila  </t>
  </si>
  <si>
    <t xml:space="preserve">Lisa </t>
  </si>
  <si>
    <t xml:space="preserve">Chileleko </t>
  </si>
  <si>
    <t xml:space="preserve">Lupupa </t>
  </si>
  <si>
    <t>Lupupa</t>
  </si>
  <si>
    <t xml:space="preserve">Mwita </t>
  </si>
  <si>
    <t>Choolwe Kapalasa</t>
  </si>
  <si>
    <t xml:space="preserve">Zadok </t>
  </si>
  <si>
    <t>096 0779691</t>
  </si>
  <si>
    <t>𝑻𝒊𝒕𝒔𝒂𝒕𝒂𝒏𝒆</t>
  </si>
  <si>
    <t>Faith</t>
  </si>
  <si>
    <t>Maleka</t>
  </si>
  <si>
    <t xml:space="preserve">Hakeem </t>
  </si>
  <si>
    <t xml:space="preserve">Knowitall </t>
  </si>
  <si>
    <t xml:space="preserve">Ray </t>
  </si>
  <si>
    <t xml:space="preserve">Mulenga </t>
  </si>
  <si>
    <t xml:space="preserve">Stephen </t>
  </si>
  <si>
    <t>Gianna mabuku</t>
  </si>
  <si>
    <t>Kasy</t>
  </si>
  <si>
    <t xml:space="preserve">Mada </t>
  </si>
  <si>
    <t>Paul</t>
  </si>
  <si>
    <t>Nthanda</t>
  </si>
  <si>
    <t>Anna</t>
  </si>
  <si>
    <t xml:space="preserve">Nyangu </t>
  </si>
  <si>
    <t xml:space="preserve">Aggie </t>
  </si>
  <si>
    <t xml:space="preserve">Individual </t>
  </si>
  <si>
    <t xml:space="preserve">𝓚𝓲𝓽𝓪𝓪𝓪𝓪 </t>
  </si>
  <si>
    <t xml:space="preserve">Chisala </t>
  </si>
  <si>
    <t xml:space="preserve">Tinashe </t>
  </si>
  <si>
    <t xml:space="preserve">Lukonde </t>
  </si>
  <si>
    <t xml:space="preserve">Tawanayahasha </t>
  </si>
  <si>
    <t xml:space="preserve">Dylan </t>
  </si>
  <si>
    <t>Namooya</t>
  </si>
  <si>
    <t>Jojo</t>
  </si>
  <si>
    <t xml:space="preserve">Smith </t>
  </si>
  <si>
    <t xml:space="preserve">Princess </t>
  </si>
  <si>
    <t xml:space="preserve">Chisanga </t>
  </si>
  <si>
    <t>Chichi</t>
  </si>
  <si>
    <t xml:space="preserve">Sharon </t>
  </si>
  <si>
    <t>243 975 577 009</t>
  </si>
  <si>
    <t xml:space="preserve">Enockbalina </t>
  </si>
  <si>
    <t>Mukoma Musonda</t>
  </si>
  <si>
    <t xml:space="preserve">Thabo </t>
  </si>
  <si>
    <t>Palo</t>
  </si>
  <si>
    <t>097 0383004</t>
  </si>
  <si>
    <t>DENNIS</t>
  </si>
  <si>
    <t xml:space="preserve">Mwenya </t>
  </si>
  <si>
    <t>Promise</t>
  </si>
  <si>
    <t>260 97 7283502</t>
  </si>
  <si>
    <t xml:space="preserve">David stone jr </t>
  </si>
  <si>
    <t>Mwenya</t>
  </si>
  <si>
    <t>Mwiza Gostave</t>
  </si>
  <si>
    <t xml:space="preserve">Faith </t>
  </si>
  <si>
    <t xml:space="preserve">Gabriella </t>
  </si>
  <si>
    <t>Chifuniro Zulu</t>
  </si>
  <si>
    <t xml:space="preserve">Paul </t>
  </si>
  <si>
    <t xml:space="preserve">Nathan </t>
  </si>
  <si>
    <t>Zile</t>
  </si>
  <si>
    <t>097 9758092</t>
  </si>
  <si>
    <t xml:space="preserve">Ethan mvula </t>
  </si>
  <si>
    <t xml:space="preserve">Charlie </t>
  </si>
  <si>
    <t xml:space="preserve">Twiza </t>
  </si>
  <si>
    <t>Tionge</t>
  </si>
  <si>
    <t>Londi</t>
  </si>
  <si>
    <t xml:space="preserve">Mwitwa </t>
  </si>
  <si>
    <t>Elyse Mpawenayo</t>
  </si>
  <si>
    <t xml:space="preserve">Shammha </t>
  </si>
  <si>
    <t xml:space="preserve">Hellen </t>
  </si>
  <si>
    <t>Mwitwa</t>
  </si>
  <si>
    <t xml:space="preserve">Elizabeth </t>
  </si>
  <si>
    <t>chimwemwe banda</t>
  </si>
  <si>
    <t xml:space="preserve">Chichi </t>
  </si>
  <si>
    <t xml:space="preserve">Wumi </t>
  </si>
  <si>
    <t>Twiase</t>
  </si>
  <si>
    <t>Wendy</t>
  </si>
  <si>
    <t>097 3141610</t>
  </si>
  <si>
    <t xml:space="preserve">Isubilo </t>
  </si>
  <si>
    <t xml:space="preserve">Bongani Munalula </t>
  </si>
  <si>
    <t>Lubuto</t>
  </si>
  <si>
    <t xml:space="preserve">Mwenyakunda </t>
  </si>
  <si>
    <t>097 7503605</t>
  </si>
  <si>
    <t>Gabriella Blackbone</t>
  </si>
  <si>
    <t>0 97 4864024</t>
  </si>
  <si>
    <t>Tuzange</t>
  </si>
  <si>
    <t xml:space="preserve">Kunda </t>
  </si>
  <si>
    <t>Agness</t>
  </si>
  <si>
    <t xml:space="preserve">Niza sampa </t>
  </si>
  <si>
    <t>Sean</t>
  </si>
  <si>
    <t>Sèan Daglous</t>
  </si>
  <si>
    <t>‪0967338796‬</t>
  </si>
  <si>
    <t>Mutinta choongo</t>
  </si>
  <si>
    <t xml:space="preserve">Cornhill Shoen </t>
  </si>
  <si>
    <t>Lisa</t>
  </si>
  <si>
    <t>096 8748875</t>
  </si>
  <si>
    <t>Chabota</t>
  </si>
  <si>
    <t xml:space="preserve">Matutu </t>
  </si>
  <si>
    <t>Warren</t>
  </si>
  <si>
    <t>Jackie</t>
  </si>
  <si>
    <t xml:space="preserve">Chimwemwe </t>
  </si>
  <si>
    <t>096 5971191</t>
  </si>
  <si>
    <t xml:space="preserve">Natasha </t>
  </si>
  <si>
    <t>Wumi</t>
  </si>
  <si>
    <t xml:space="preserve">Tanaka </t>
  </si>
  <si>
    <t xml:space="preserve">Margret </t>
  </si>
  <si>
    <t>260 97 2947983</t>
  </si>
  <si>
    <t xml:space="preserve">Robyn </t>
  </si>
  <si>
    <t>097 1752609</t>
  </si>
  <si>
    <t>Ndabe</t>
  </si>
  <si>
    <t>Hassan</t>
  </si>
  <si>
    <t xml:space="preserve">Tiwonge </t>
  </si>
  <si>
    <t>097 1997704</t>
  </si>
  <si>
    <t>Salim</t>
  </si>
  <si>
    <t>Lukas</t>
  </si>
  <si>
    <t xml:space="preserve">Thokozile </t>
  </si>
  <si>
    <t>097 3039701</t>
  </si>
  <si>
    <t>Kassie</t>
  </si>
  <si>
    <t>Twavula</t>
  </si>
  <si>
    <t>260 98 1061035</t>
  </si>
  <si>
    <t xml:space="preserve">Francine </t>
  </si>
  <si>
    <t xml:space="preserve">Kelis </t>
  </si>
  <si>
    <t>Greg</t>
  </si>
  <si>
    <t>kundananji</t>
  </si>
  <si>
    <t>097 5367166</t>
  </si>
  <si>
    <t xml:space="preserve">Tehillah </t>
  </si>
  <si>
    <t>Erykah Daff</t>
  </si>
  <si>
    <t xml:space="preserve">Chimfwenbe </t>
  </si>
  <si>
    <t>097 6554917</t>
  </si>
  <si>
    <t>Nobuhle</t>
  </si>
  <si>
    <t xml:space="preserve">Luyando Chuube </t>
  </si>
  <si>
    <t>Paul Katongo</t>
  </si>
  <si>
    <t xml:space="preserve">𝐇𝐚𝐤𝐞𝐞𝐦 </t>
  </si>
  <si>
    <t>Wana Moonga</t>
  </si>
  <si>
    <t>29/02/2026</t>
  </si>
  <si>
    <t xml:space="preserve">Ngosa </t>
  </si>
  <si>
    <t>Chimwme</t>
  </si>
  <si>
    <t>TOPFLOORBOS</t>
  </si>
  <si>
    <t>Kelis</t>
  </si>
  <si>
    <t>Cosmo</t>
  </si>
  <si>
    <t>Cement</t>
  </si>
  <si>
    <t>097 4263564</t>
  </si>
  <si>
    <t>Jimbo</t>
  </si>
  <si>
    <t>Kabaya</t>
  </si>
  <si>
    <t xml:space="preserve">Boas Mwaba </t>
  </si>
  <si>
    <t>097 9465918</t>
  </si>
  <si>
    <t xml:space="preserve">Mwila </t>
  </si>
  <si>
    <t>Faith m</t>
  </si>
  <si>
    <t>97 8439465</t>
  </si>
  <si>
    <t>Genie</t>
  </si>
  <si>
    <t xml:space="preserve">Kuka snap </t>
  </si>
  <si>
    <t>Jeff Changu</t>
  </si>
  <si>
    <t>Chiza Ngoma-Nicholas Jr.</t>
  </si>
  <si>
    <t>60 97 5467109</t>
  </si>
  <si>
    <t>Ameenah Fatacky</t>
  </si>
  <si>
    <t xml:space="preserve">Stephan </t>
  </si>
  <si>
    <t>Alick Luchembe</t>
  </si>
  <si>
    <t xml:space="preserve">Wesly </t>
  </si>
  <si>
    <t>temwani nawale</t>
  </si>
  <si>
    <t xml:space="preserve">Warren </t>
  </si>
  <si>
    <t>097 1016943</t>
  </si>
  <si>
    <t xml:space="preserve">Jo-Ann </t>
  </si>
  <si>
    <t>097 9211634</t>
  </si>
  <si>
    <t>Angi</t>
  </si>
  <si>
    <t>Nandi</t>
  </si>
  <si>
    <t>097 1727318</t>
  </si>
  <si>
    <t xml:space="preserve">Gomezyani </t>
  </si>
  <si>
    <t>Sekelani</t>
  </si>
  <si>
    <t>096 7365292</t>
  </si>
  <si>
    <t>Zoey</t>
  </si>
  <si>
    <t xml:space="preserve">Chipampe Natalie </t>
  </si>
  <si>
    <t xml:space="preserve">Elizabeth Daka </t>
  </si>
  <si>
    <t>Kondwani</t>
  </si>
  <si>
    <t>097 9616999</t>
  </si>
  <si>
    <t>Faith 2</t>
  </si>
  <si>
    <t xml:space="preserve">Tionge </t>
  </si>
  <si>
    <t>097 4710399</t>
  </si>
  <si>
    <t>Chim</t>
  </si>
  <si>
    <t>095 1410830</t>
  </si>
  <si>
    <t>Ngosa</t>
  </si>
  <si>
    <t xml:space="preserve">Cosmo </t>
  </si>
  <si>
    <t>Frankel</t>
  </si>
  <si>
    <t>263 78 021 2566</t>
  </si>
  <si>
    <t xml:space="preserve">Don Darryl </t>
  </si>
  <si>
    <t>097 3993052</t>
  </si>
  <si>
    <t xml:space="preserve">𝓥𝓲𝓸𝓵𝓪𝓱 </t>
  </si>
  <si>
    <t>0 97 3145230</t>
  </si>
  <si>
    <t xml:space="preserve">Edwin </t>
  </si>
  <si>
    <t>096 0779614</t>
  </si>
  <si>
    <t>Lushom</t>
  </si>
  <si>
    <t>097 5354715</t>
  </si>
  <si>
    <t>Muchemwa</t>
  </si>
  <si>
    <t xml:space="preserve">Twauvla </t>
  </si>
  <si>
    <t xml:space="preserve">DENNIS </t>
  </si>
  <si>
    <t xml:space="preserve">Caleb </t>
  </si>
  <si>
    <t>097 8602821</t>
  </si>
  <si>
    <t xml:space="preserve">Muchimba </t>
  </si>
  <si>
    <t>260 97 8682070</t>
  </si>
  <si>
    <t>Patrick</t>
  </si>
  <si>
    <t>Chopper</t>
  </si>
  <si>
    <t>Stephenie</t>
  </si>
  <si>
    <t xml:space="preserve">Bupe </t>
  </si>
  <si>
    <t>278 874 4694</t>
  </si>
  <si>
    <t>Zima</t>
  </si>
  <si>
    <t>097 3972610</t>
  </si>
  <si>
    <t>Shawn</t>
  </si>
  <si>
    <t>097 1491456</t>
  </si>
  <si>
    <t>Kangwa Bwalya</t>
  </si>
  <si>
    <t>Lethiwe Lukumba</t>
  </si>
  <si>
    <t>097 7473902</t>
  </si>
  <si>
    <t>Omari</t>
  </si>
  <si>
    <t xml:space="preserve">Andrew </t>
  </si>
  <si>
    <t xml:space="preserve">Luwi </t>
  </si>
  <si>
    <t>Muleya Apple Music</t>
  </si>
  <si>
    <t>Zadok</t>
  </si>
  <si>
    <t>Mufaro</t>
  </si>
  <si>
    <t xml:space="preserve">Chisenga </t>
  </si>
  <si>
    <t xml:space="preserve">Alex </t>
  </si>
  <si>
    <t xml:space="preserve">Nissa </t>
  </si>
  <si>
    <t>Seshi</t>
  </si>
  <si>
    <t xml:space="preserve">Liora </t>
  </si>
  <si>
    <t>097 7498092</t>
  </si>
  <si>
    <t xml:space="preserve">Faith maya </t>
  </si>
  <si>
    <t>097 3300618</t>
  </si>
  <si>
    <t>Sekelani Zulu</t>
  </si>
  <si>
    <t xml:space="preserve">Peter Lupupa </t>
  </si>
  <si>
    <t>097 9108975</t>
  </si>
  <si>
    <t>Winson  Siame</t>
  </si>
  <si>
    <t>Wesly</t>
  </si>
  <si>
    <t>260 96 5733144</t>
  </si>
  <si>
    <t xml:space="preserve">Wendy kalinda </t>
  </si>
  <si>
    <t>097 4574317</t>
  </si>
  <si>
    <t>Tao</t>
  </si>
  <si>
    <t xml:space="preserve">mwen </t>
  </si>
  <si>
    <t xml:space="preserve">Zharina </t>
  </si>
  <si>
    <t xml:space="preserve">Josh </t>
  </si>
  <si>
    <t xml:space="preserve">Isaac </t>
  </si>
  <si>
    <t>Isaac Nseluka</t>
  </si>
  <si>
    <t xml:space="preserve">Denny </t>
  </si>
  <si>
    <t>Chipo X</t>
  </si>
  <si>
    <t>097 6884088</t>
  </si>
  <si>
    <t>Sam Kondwani</t>
  </si>
  <si>
    <t>097 5266395</t>
  </si>
  <si>
    <t xml:space="preserve">Jemimah </t>
  </si>
  <si>
    <t>097 7518122</t>
  </si>
  <si>
    <t>Shebo</t>
  </si>
  <si>
    <t>Kafumukache</t>
  </si>
  <si>
    <t>Aaron jr</t>
  </si>
  <si>
    <t>Dalitso Mwale.</t>
  </si>
  <si>
    <t>097 7734478</t>
  </si>
  <si>
    <t xml:space="preserve">Zenga </t>
  </si>
  <si>
    <t>097 6818035</t>
  </si>
  <si>
    <t>Mike’s Artbox</t>
  </si>
  <si>
    <t xml:space="preserve">Milo Sililo </t>
  </si>
  <si>
    <t>60 97 1707111</t>
  </si>
  <si>
    <t>Cammy</t>
  </si>
  <si>
    <t>Tapiwa Banda</t>
  </si>
  <si>
    <t xml:space="preserve">hellen </t>
  </si>
  <si>
    <t>097 8346033</t>
  </si>
  <si>
    <t>Sifunganyambe Luse</t>
  </si>
  <si>
    <t>Ria Myra</t>
  </si>
  <si>
    <t xml:space="preserve">Kondwani </t>
  </si>
  <si>
    <t>Enjoy</t>
  </si>
  <si>
    <t>Mary</t>
  </si>
  <si>
    <t>097 5147031</t>
  </si>
  <si>
    <t xml:space="preserve">Nicolas </t>
  </si>
  <si>
    <t>097 3788729</t>
  </si>
  <si>
    <t xml:space="preserve">Maiki </t>
  </si>
  <si>
    <t xml:space="preserve">Vincent </t>
  </si>
  <si>
    <t>0 96 4146591</t>
  </si>
  <si>
    <t>Patience Ally</t>
  </si>
  <si>
    <t xml:space="preserve">Cement </t>
  </si>
  <si>
    <t>Chishala</t>
  </si>
  <si>
    <t>7 902 614-72-26</t>
  </si>
  <si>
    <t>Doc</t>
  </si>
  <si>
    <t>29/</t>
  </si>
  <si>
    <t>Ali Mohammad</t>
  </si>
  <si>
    <t>097 4569519</t>
  </si>
  <si>
    <t xml:space="preserve">Katongo mubi </t>
  </si>
  <si>
    <t>Kanyanta</t>
  </si>
  <si>
    <t>Nate</t>
  </si>
  <si>
    <t>Zharina</t>
  </si>
  <si>
    <t>Kajia</t>
  </si>
  <si>
    <t>097 3575320</t>
  </si>
  <si>
    <t>096 0992424</t>
  </si>
  <si>
    <t xml:space="preserve">Zango m </t>
  </si>
  <si>
    <t>Benjamin lukamba</t>
  </si>
  <si>
    <t xml:space="preserve">Dainess </t>
  </si>
  <si>
    <t>097 7623548</t>
  </si>
  <si>
    <t xml:space="preserve">William </t>
  </si>
  <si>
    <t xml:space="preserve">Jeda </t>
  </si>
  <si>
    <t xml:space="preserve">Lukas </t>
  </si>
  <si>
    <t>097 3699534</t>
  </si>
  <si>
    <t xml:space="preserve">Hassan </t>
  </si>
  <si>
    <t>097 1833083</t>
  </si>
  <si>
    <t>Rafael</t>
  </si>
  <si>
    <t>096 6333114</t>
  </si>
  <si>
    <t>Precious Maviya.</t>
  </si>
  <si>
    <t>0 96 7150124</t>
  </si>
  <si>
    <t xml:space="preserve">Twavula </t>
  </si>
  <si>
    <t>Mwenya 2</t>
  </si>
  <si>
    <t>Liora</t>
  </si>
  <si>
    <t>097 3645518</t>
  </si>
  <si>
    <t>Patrick 2</t>
  </si>
  <si>
    <t xml:space="preserve">Panji </t>
  </si>
  <si>
    <t>Mwenya 3</t>
  </si>
  <si>
    <t>Zoe</t>
  </si>
  <si>
    <t xml:space="preserve">David sampa </t>
  </si>
  <si>
    <t>Tyann</t>
  </si>
  <si>
    <t>Panji</t>
  </si>
  <si>
    <t>096 7101367</t>
  </si>
  <si>
    <t>Chikondi</t>
  </si>
  <si>
    <t xml:space="preserve">Clarence </t>
  </si>
  <si>
    <t>MB</t>
  </si>
  <si>
    <t>097 0702121</t>
  </si>
  <si>
    <t>Thwani</t>
  </si>
  <si>
    <t xml:space="preserve">Michelle </t>
  </si>
  <si>
    <t>0 97 3809971</t>
  </si>
  <si>
    <t xml:space="preserve">Chikondi </t>
  </si>
  <si>
    <t>263 78 874 4694</t>
  </si>
  <si>
    <t xml:space="preserve">Yamihle </t>
  </si>
  <si>
    <t xml:space="preserve">Chipo </t>
  </si>
  <si>
    <t>097 0633260</t>
  </si>
  <si>
    <t>Kassie 2</t>
  </si>
  <si>
    <t>0 96 8748589</t>
  </si>
  <si>
    <t>Vanessa 2</t>
  </si>
  <si>
    <t>095 7999876</t>
  </si>
  <si>
    <t xml:space="preserve">Mutibo </t>
  </si>
  <si>
    <t>097 0126202</t>
  </si>
  <si>
    <t>Georgina Banda</t>
  </si>
  <si>
    <t xml:space="preserve">Latifah </t>
  </si>
  <si>
    <t xml:space="preserve">Zile </t>
  </si>
  <si>
    <t xml:space="preserve">Flo </t>
  </si>
  <si>
    <t xml:space="preserve">Levy </t>
  </si>
  <si>
    <t>price</t>
  </si>
  <si>
    <t>1 month</t>
  </si>
  <si>
    <t>2 months</t>
  </si>
  <si>
    <t>3 months</t>
  </si>
  <si>
    <t>6 months</t>
  </si>
  <si>
    <t>1 year</t>
  </si>
  <si>
    <t>BLACK FRIDAY</t>
  </si>
  <si>
    <t xml:space="preserve">1 months </t>
  </si>
  <si>
    <t>Accounts</t>
  </si>
  <si>
    <t>PRIME VIDEO</t>
  </si>
  <si>
    <t>APPLE MUSIC PREMIUM</t>
  </si>
  <si>
    <t>MONTHS</t>
  </si>
  <si>
    <t>PRICE</t>
  </si>
  <si>
    <t>TODAYS DATE</t>
  </si>
  <si>
    <t>DUE DATE</t>
  </si>
  <si>
    <t>-</t>
  </si>
  <si>
    <t>STATUS</t>
  </si>
  <si>
    <t>MOBTHS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</si>
  <si>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</si>
  <si>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</si>
  <si>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</si>
  <si>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</si>
  <si>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</si>
  <si>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</si>
  <si>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</si>
  <si>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</si>
  <si>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</si>
  <si>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</si>
  <si>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</si>
  <si>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</si>
  <si>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</si>
  <si>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SALES</t>
  </si>
  <si>
    <t>EXPENSES</t>
  </si>
  <si>
    <t>ORDER ACCOUNT</t>
  </si>
  <si>
    <t>PAYMENT</t>
  </si>
  <si>
    <t>DATE</t>
  </si>
  <si>
    <t xml:space="preserve">Apple Music balance </t>
  </si>
  <si>
    <t>APPLE MUSIC</t>
  </si>
  <si>
    <t>Apple Music fam</t>
  </si>
  <si>
    <t>ACOOUNTS BOUGHT</t>
  </si>
  <si>
    <t>INDIVIDUAL ACCOUNTS</t>
  </si>
  <si>
    <t>HOW MANY WHERE FILLED?</t>
  </si>
  <si>
    <t>ONE YEAR CUSTOMER</t>
  </si>
  <si>
    <t>MONTHLY</t>
  </si>
  <si>
    <t xml:space="preserve">Apple Music fam </t>
  </si>
  <si>
    <t>Crunchy roll</t>
  </si>
  <si>
    <t xml:space="preserve">Disney plus </t>
  </si>
  <si>
    <t>HBO</t>
  </si>
  <si>
    <t>Individual apple</t>
  </si>
  <si>
    <t xml:space="preserve">Netflix </t>
  </si>
  <si>
    <t>prime</t>
  </si>
  <si>
    <t xml:space="preserve">Spotify </t>
  </si>
  <si>
    <t>TOTAL FOR NOVEMBER</t>
  </si>
  <si>
    <t>GROSS PROFIT</t>
  </si>
  <si>
    <t>Sum of price</t>
  </si>
  <si>
    <t>Row Labels</t>
  </si>
  <si>
    <t>(blank)</t>
  </si>
  <si>
    <t>Grand Total</t>
  </si>
  <si>
    <t>TOTALS</t>
  </si>
  <si>
    <t>GREEN yamikophiri50</t>
  </si>
  <si>
    <t>Thato</t>
  </si>
  <si>
    <t>Mu 76</t>
  </si>
  <si>
    <t>Chichi Chisembele</t>
  </si>
  <si>
    <t>Njavwa Sichalwe</t>
  </si>
  <si>
    <t>Lusungu Manda
Chi</t>
  </si>
  <si>
    <t>Philimon London</t>
  </si>
  <si>
    <t>PINK spotifyeasycart</t>
  </si>
  <si>
    <t>Katunta Luyando</t>
  </si>
  <si>
    <t>Ngosa Chanda</t>
  </si>
  <si>
    <t>Uncle Tinga
Chisanga Mutale</t>
  </si>
  <si>
    <t>Nicholaus</t>
  </si>
  <si>
    <t>BLUE mwami.jendo</t>
  </si>
  <si>
    <t>Lontua
mervin mubanga</t>
  </si>
  <si>
    <t>perseverance</t>
  </si>
  <si>
    <t>Hastings</t>
  </si>
  <si>
    <t>RED tamika</t>
  </si>
  <si>
    <t>king muzo</t>
  </si>
  <si>
    <t>theresa</t>
  </si>
  <si>
    <t>kauti
cartel</t>
  </si>
  <si>
    <t>ayanda moyo</t>
  </si>
  <si>
    <t>MEROON anittamaxwynn2</t>
  </si>
  <si>
    <t>Alwande
Reuben</t>
  </si>
  <si>
    <t>Mukenge</t>
  </si>
  <si>
    <t>Bongani Nsomeka</t>
  </si>
  <si>
    <t>Kabwitaloti</t>
  </si>
  <si>
    <t xml:space="preserve">
2</t>
  </si>
  <si>
    <t>GREY easy cart</t>
  </si>
  <si>
    <t>Makedah</t>
  </si>
  <si>
    <t>Ernest Chali</t>
  </si>
  <si>
    <t>Nathan Mutawali</t>
  </si>
  <si>
    <t>Niza</t>
  </si>
  <si>
    <t>Thema</t>
  </si>
  <si>
    <t>Chido</t>
  </si>
  <si>
    <t>Precious Botha</t>
  </si>
  <si>
    <t>Chansa sondashi</t>
  </si>
  <si>
    <t>Mary ngoma</t>
  </si>
  <si>
    <t>Adele Toontjies</t>
  </si>
  <si>
    <t>Elisha Matebele</t>
  </si>
  <si>
    <t>Larissa Machayi</t>
  </si>
  <si>
    <t>SHOWMAX</t>
  </si>
  <si>
    <t>CRUNCHYROLL</t>
  </si>
  <si>
    <t>NETFLIX</t>
  </si>
  <si>
    <t>SPOTIFY</t>
  </si>
  <si>
    <t>FEES</t>
  </si>
  <si>
    <t>COST/AC</t>
  </si>
  <si>
    <t>FAMILY OF 5</t>
  </si>
  <si>
    <t>APPLE ICLOUD</t>
  </si>
  <si>
    <t>PRIME BREAKDOWN</t>
  </si>
  <si>
    <r>
      <rPr>
        <sz val="9.5"/>
        <rFont val="Arial MT"/>
        <family val="2"/>
      </rPr>
      <t>Lupupa</t>
    </r>
  </si>
  <si>
    <r>
      <rPr>
        <sz val="9.5"/>
        <rFont val="Arial MT"/>
        <family val="2"/>
      </rPr>
      <t>Mwiche</t>
    </r>
  </si>
  <si>
    <r>
      <rPr>
        <sz val="9.5"/>
        <rFont val="Arial MT"/>
        <family val="2"/>
      </rPr>
      <t>Colleen Sinonge</t>
    </r>
  </si>
  <si>
    <r>
      <rPr>
        <sz val="9.5"/>
        <rFont val="Arial MT"/>
        <family val="2"/>
      </rPr>
      <t>Sky</t>
    </r>
  </si>
  <si>
    <r>
      <rPr>
        <sz val="9.5"/>
        <rFont val="Arial MT"/>
        <family val="2"/>
      </rPr>
      <t>Mwiza</t>
    </r>
  </si>
  <si>
    <r>
      <rPr>
        <sz val="9.5"/>
        <rFont val="Arial MT"/>
        <family val="2"/>
      </rPr>
      <t>Jackie</t>
    </r>
  </si>
  <si>
    <t xml:space="preserve">Stephanie
</t>
  </si>
  <si>
    <t>Tiwonge</t>
  </si>
  <si>
    <t xml:space="preserve">260768937382
</t>
  </si>
  <si>
    <t>Sunday</t>
  </si>
  <si>
    <t xml:space="preserve">24/10/2025
</t>
  </si>
  <si>
    <t xml:space="preserve">Grace
</t>
  </si>
  <si>
    <t>Loti kawita</t>
  </si>
  <si>
    <t>Mutale Natasha</t>
  </si>
  <si>
    <t>Stella</t>
  </si>
  <si>
    <t>Esau mwenda</t>
  </si>
  <si>
    <t>DSTV</t>
  </si>
  <si>
    <t>ICLOUD STORAGE</t>
  </si>
  <si>
    <t>AMAZON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</si>
</sst>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d/m"/>
    <numFmt numFmtId="166" formatCode="&quot;£&quot;#,##0.00"/>
    <numFmt numFmtId="167" formatCode="[$ZMK]\ #,##0.00;\-[$ZMK]\ #,##0.00"/>
    <numFmt numFmtId="168" formatCode="[$ZMK]\ #,##0.0"/>
    <numFmt numFmtId="169" formatCode="dd/mm/yyyy;@"/>
  </numFmts>
  <fonts count="4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2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  <scheme val="minor"/>
    </font>
    <font>
      <sz val="24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Roboto"/>
    </font>
    <font>
      <sz val="12"/>
      <color theme="1"/>
      <name val="Roboto"/>
    </font>
    <font>
      <sz val="12"/>
      <color rgb="FFFF0000"/>
      <name val="Arial"/>
      <family val="2"/>
      <scheme val="minor"/>
    </font>
    <font>
      <b/>
      <sz val="28"/>
      <color theme="1"/>
      <name val="Tahoma"/>
      <family val="2"/>
    </font>
    <font>
      <b/>
      <sz val="28"/>
      <color rgb="FF000000"/>
      <name val="Tahoma"/>
      <family val="2"/>
    </font>
    <font>
      <sz val="10"/>
      <color rgb="FF000000"/>
      <name val="Tahoma"/>
      <family val="2"/>
    </font>
    <font>
      <b/>
      <sz val="16"/>
      <color theme="0"/>
      <name val="Tahoma"/>
      <family val="2"/>
    </font>
    <font>
      <sz val="16"/>
      <color theme="0"/>
      <name val="Tahoma"/>
      <family val="2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sz val="16"/>
      <color rgb="FF000000"/>
      <name val="Tahoma"/>
      <family val="2"/>
    </font>
    <font>
      <b/>
      <u/>
      <sz val="16"/>
      <color theme="1"/>
      <name val="Tahoma"/>
      <family val="2"/>
    </font>
    <font>
      <sz val="16"/>
      <color rgb="FFFF0000"/>
      <name val="Tahoma"/>
      <family val="2"/>
    </font>
    <font>
      <b/>
      <sz val="26"/>
      <color theme="0"/>
      <name val="Arial"/>
      <family val="2"/>
    </font>
    <font>
      <b/>
      <sz val="26"/>
      <color theme="0"/>
      <name val="Tahoma"/>
      <family val="2"/>
    </font>
    <font>
      <sz val="26"/>
      <color theme="0"/>
      <name val="Arial"/>
      <family val="2"/>
    </font>
    <font>
      <sz val="26"/>
      <color theme="0"/>
      <name val="Arial"/>
      <family val="2"/>
      <scheme val="minor"/>
    </font>
    <font>
      <b/>
      <sz val="26"/>
      <color theme="1"/>
      <name val="Roboto"/>
    </font>
    <font>
      <b/>
      <sz val="26"/>
      <color theme="1"/>
      <name val="Tahoma"/>
      <family val="2"/>
    </font>
    <font>
      <sz val="26"/>
      <color theme="1"/>
      <name val="Roboto"/>
    </font>
    <font>
      <sz val="26"/>
      <color theme="1"/>
      <name val="Arial"/>
      <family val="2"/>
      <scheme val="minor"/>
    </font>
    <font>
      <sz val="26"/>
      <color theme="1"/>
      <name val="Arial"/>
      <family val="2"/>
    </font>
    <font>
      <sz val="26"/>
      <color rgb="FF000000"/>
      <name val="Arial"/>
      <family val="2"/>
      <scheme val="minor"/>
    </font>
    <font>
      <b/>
      <sz val="26"/>
      <color theme="1"/>
      <name val="Arial"/>
      <family val="2"/>
      <scheme val="minor"/>
    </font>
    <font>
      <b/>
      <sz val="26"/>
      <color theme="1"/>
      <name val="-apple-system"/>
    </font>
    <font>
      <b/>
      <sz val="26"/>
      <color theme="1"/>
      <name val="Arial"/>
      <family val="2"/>
    </font>
    <font>
      <sz val="9.5"/>
      <color rgb="FF000000"/>
      <name val="Arial MT"/>
      <family val="2"/>
    </font>
    <font>
      <sz val="8"/>
      <name val="Arial"/>
      <family val="2"/>
      <scheme val="minor"/>
    </font>
    <font>
      <sz val="9.5"/>
      <name val="Arial MT"/>
    </font>
    <font>
      <sz val="9.5"/>
      <name val="Arial MT"/>
      <family val="2"/>
    </font>
    <font>
      <b/>
      <sz val="26"/>
      <color theme="0"/>
      <name val="Roboto"/>
    </font>
    <font>
      <sz val="26"/>
      <color theme="0"/>
      <name val="Tahoma"/>
      <family val="2"/>
    </font>
    <font>
      <sz val="9.5"/>
      <color theme="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EFEFEF"/>
      </patternFill>
    </fill>
    <fill>
      <patternFill patternType="solid">
        <fgColor theme="5" tint="-0.499984740745262"/>
        <bgColor rgb="FFE06666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rgb="FFE0666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rgb="FFE06666"/>
      </patternFill>
    </fill>
    <fill>
      <patternFill patternType="solid">
        <fgColor theme="9" tint="0.59999389629810485"/>
        <bgColor rgb="FFE06666"/>
      </patternFill>
    </fill>
    <fill>
      <patternFill patternType="solid">
        <fgColor theme="9" tint="-0.249977111117893"/>
        <bgColor rgb="FFE06666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8F9F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-0.499984740745262"/>
        <bgColor rgb="FFF8F9FA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5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0" fontId="2" fillId="2" borderId="0" xfId="0" applyFont="1" applyFill="1"/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8" fillId="3" borderId="0" xfId="0" applyFont="1" applyFill="1"/>
    <xf numFmtId="0" fontId="8" fillId="2" borderId="0" xfId="0" applyFont="1" applyFill="1"/>
    <xf numFmtId="0" fontId="8" fillId="4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" fillId="2" borderId="0" xfId="0" applyFont="1" applyFill="1"/>
    <xf numFmtId="0" fontId="10" fillId="2" borderId="1" xfId="0" applyFont="1" applyFill="1" applyBorder="1"/>
    <xf numFmtId="14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14" fontId="12" fillId="2" borderId="1" xfId="0" applyNumberFormat="1" applyFont="1" applyFill="1" applyBorder="1"/>
    <xf numFmtId="1" fontId="4" fillId="2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right"/>
    </xf>
    <xf numFmtId="0" fontId="14" fillId="5" borderId="1" xfId="0" applyFont="1" applyFill="1" applyBorder="1"/>
    <xf numFmtId="14" fontId="15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5" fillId="5" borderId="1" xfId="0" applyFont="1" applyFill="1" applyBorder="1"/>
    <xf numFmtId="0" fontId="14" fillId="6" borderId="1" xfId="0" applyFont="1" applyFill="1" applyBorder="1" applyAlignment="1">
      <alignment horizontal="right"/>
    </xf>
    <xf numFmtId="0" fontId="14" fillId="6" borderId="1" xfId="0" applyFont="1" applyFill="1" applyBorder="1"/>
    <xf numFmtId="14" fontId="15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/>
    <xf numFmtId="0" fontId="13" fillId="5" borderId="1" xfId="0" applyFont="1" applyFill="1" applyBorder="1" applyAlignment="1">
      <alignment horizontal="right"/>
    </xf>
    <xf numFmtId="0" fontId="13" fillId="5" borderId="1" xfId="0" applyFont="1" applyFill="1" applyBorder="1"/>
    <xf numFmtId="14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/>
    <xf numFmtId="164" fontId="15" fillId="5" borderId="1" xfId="0" applyNumberFormat="1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7" fillId="2" borderId="1" xfId="0" applyFont="1" applyFill="1" applyBorder="1"/>
    <xf numFmtId="166" fontId="0" fillId="2" borderId="1" xfId="0" applyNumberForma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7" fontId="0" fillId="3" borderId="0" xfId="0" applyNumberFormat="1" applyFill="1"/>
    <xf numFmtId="0" fontId="2" fillId="2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14" fontId="12" fillId="2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164" fontId="1" fillId="2" borderId="0" xfId="0" applyNumberFormat="1" applyFont="1" applyFill="1"/>
    <xf numFmtId="14" fontId="1" fillId="2" borderId="0" xfId="0" applyNumberFormat="1" applyFont="1" applyFill="1"/>
    <xf numFmtId="164" fontId="1" fillId="2" borderId="1" xfId="0" applyNumberFormat="1" applyFont="1" applyFill="1" applyBorder="1"/>
    <xf numFmtId="168" fontId="1" fillId="2" borderId="1" xfId="0" applyNumberFormat="1" applyFont="1" applyFill="1" applyBorder="1"/>
    <xf numFmtId="168" fontId="0" fillId="2" borderId="1" xfId="0" applyNumberForma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3" borderId="1" xfId="0" applyFont="1" applyFill="1" applyBorder="1" applyAlignment="1">
      <alignment horizontal="left"/>
    </xf>
    <xf numFmtId="0" fontId="19" fillId="13" borderId="1" xfId="0" applyFont="1" applyFill="1" applyBorder="1" applyAlignment="1">
      <alignment horizontal="center"/>
    </xf>
    <xf numFmtId="0" fontId="19" fillId="0" borderId="0" xfId="0" applyFont="1"/>
    <xf numFmtId="0" fontId="20" fillId="8" borderId="1" xfId="0" applyFont="1" applyFill="1" applyBorder="1" applyAlignment="1">
      <alignment horizontal="center" vertical="center"/>
    </xf>
    <xf numFmtId="14" fontId="21" fillId="9" borderId="1" xfId="0" applyNumberFormat="1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14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4" fontId="23" fillId="2" borderId="1" xfId="0" applyNumberFormat="1" applyFont="1" applyFill="1" applyBorder="1" applyAlignment="1">
      <alignment horizontal="center"/>
    </xf>
    <xf numFmtId="1" fontId="24" fillId="2" borderId="9" xfId="0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14" fontId="23" fillId="5" borderId="1" xfId="0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14" fontId="23" fillId="6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/>
    </xf>
    <xf numFmtId="164" fontId="23" fillId="2" borderId="1" xfId="0" applyNumberFormat="1" applyFont="1" applyFill="1" applyBorder="1" applyAlignment="1">
      <alignment horizontal="center" vertical="center"/>
    </xf>
    <xf numFmtId="164" fontId="23" fillId="5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165" fontId="23" fillId="2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14" fontId="29" fillId="9" borderId="1" xfId="0" applyNumberFormat="1" applyFont="1" applyFill="1" applyBorder="1" applyAlignment="1">
      <alignment horizontal="center" vertical="center"/>
    </xf>
    <xf numFmtId="0" fontId="27" fillId="8" borderId="9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14" fontId="33" fillId="5" borderId="1" xfId="0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14" fontId="35" fillId="2" borderId="1" xfId="0" applyNumberFormat="1" applyFont="1" applyFill="1" applyBorder="1" applyAlignment="1">
      <alignment horizontal="center"/>
    </xf>
    <xf numFmtId="1" fontId="36" fillId="2" borderId="1" xfId="0" applyNumberFormat="1" applyFont="1" applyFill="1" applyBorder="1" applyAlignment="1">
      <alignment horizontal="center"/>
    </xf>
    <xf numFmtId="0" fontId="36" fillId="2" borderId="1" xfId="0" applyFont="1" applyFill="1" applyBorder="1"/>
    <xf numFmtId="0" fontId="36" fillId="2" borderId="0" xfId="0" applyFont="1" applyFill="1"/>
    <xf numFmtId="0" fontId="31" fillId="6" borderId="1" xfId="0" applyFont="1" applyFill="1" applyBorder="1" applyAlignment="1">
      <alignment horizontal="center"/>
    </xf>
    <xf numFmtId="14" fontId="33" fillId="6" borderId="1" xfId="0" applyNumberFormat="1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/>
    </xf>
    <xf numFmtId="0" fontId="37" fillId="2" borderId="1" xfId="0" applyFont="1" applyFill="1" applyBorder="1" applyAlignment="1">
      <alignment horizontal="center"/>
    </xf>
    <xf numFmtId="14" fontId="34" fillId="2" borderId="1" xfId="0" applyNumberFormat="1" applyFont="1" applyFill="1" applyBorder="1" applyAlignment="1">
      <alignment horizontal="center" vertical="center"/>
    </xf>
    <xf numFmtId="164" fontId="34" fillId="2" borderId="1" xfId="0" applyNumberFormat="1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14" fontId="35" fillId="2" borderId="1" xfId="0" applyNumberFormat="1" applyFont="1" applyFill="1" applyBorder="1" applyAlignment="1">
      <alignment horizontal="center" vertical="center"/>
    </xf>
    <xf numFmtId="164" fontId="35" fillId="2" borderId="1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/>
    </xf>
    <xf numFmtId="14" fontId="35" fillId="5" borderId="1" xfId="0" applyNumberFormat="1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/>
    </xf>
    <xf numFmtId="164" fontId="33" fillId="5" borderId="1" xfId="0" applyNumberFormat="1" applyFont="1" applyFill="1" applyBorder="1" applyAlignment="1">
      <alignment horizontal="center" vertical="center"/>
    </xf>
    <xf numFmtId="164" fontId="33" fillId="6" borderId="1" xfId="0" applyNumberFormat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/>
    </xf>
    <xf numFmtId="0" fontId="39" fillId="6" borderId="1" xfId="0" applyFont="1" applyFill="1" applyBorder="1" applyAlignment="1">
      <alignment horizontal="center"/>
    </xf>
    <xf numFmtId="165" fontId="34" fillId="2" borderId="1" xfId="0" applyNumberFormat="1" applyFont="1" applyFill="1" applyBorder="1" applyAlignment="1">
      <alignment horizontal="center" vertical="center"/>
    </xf>
    <xf numFmtId="14" fontId="35" fillId="6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1" fillId="13" borderId="1" xfId="0" applyFont="1" applyFill="1" applyBorder="1"/>
    <xf numFmtId="0" fontId="2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39" fillId="18" borderId="1" xfId="0" applyFont="1" applyFill="1" applyBorder="1" applyAlignment="1">
      <alignment horizontal="center" vertical="center"/>
    </xf>
    <xf numFmtId="169" fontId="40" fillId="2" borderId="1" xfId="0" applyNumberFormat="1" applyFont="1" applyFill="1" applyBorder="1" applyAlignment="1">
      <alignment horizontal="center" vertical="top" shrinkToFit="1"/>
    </xf>
    <xf numFmtId="1" fontId="40" fillId="2" borderId="1" xfId="0" applyNumberFormat="1" applyFont="1" applyFill="1" applyBorder="1" applyAlignment="1">
      <alignment horizontal="center" vertical="top" shrinkToFit="1"/>
    </xf>
    <xf numFmtId="0" fontId="42" fillId="2" borderId="1" xfId="0" applyFon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center"/>
    </xf>
    <xf numFmtId="3" fontId="40" fillId="2" borderId="1" xfId="0" applyNumberFormat="1" applyFont="1" applyFill="1" applyBorder="1" applyAlignment="1">
      <alignment horizontal="center" vertical="top" shrinkToFit="1"/>
    </xf>
    <xf numFmtId="0" fontId="43" fillId="2" borderId="1" xfId="0" applyFon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center"/>
    </xf>
    <xf numFmtId="0" fontId="39" fillId="18" borderId="1" xfId="0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 wrapText="1"/>
    </xf>
    <xf numFmtId="14" fontId="39" fillId="3" borderId="1" xfId="0" applyNumberFormat="1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/>
    </xf>
    <xf numFmtId="14" fontId="29" fillId="20" borderId="1" xfId="0" applyNumberFormat="1" applyFont="1" applyFill="1" applyBorder="1" applyAlignment="1">
      <alignment horizontal="center" vertical="center"/>
    </xf>
    <xf numFmtId="0" fontId="30" fillId="2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/>
    </xf>
    <xf numFmtId="0" fontId="27" fillId="15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14" fontId="29" fillId="16" borderId="1" xfId="0" applyNumberFormat="1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14" fontId="33" fillId="21" borderId="1" xfId="0" applyNumberFormat="1" applyFont="1" applyFill="1" applyBorder="1" applyAlignment="1">
      <alignment horizontal="center" vertical="center"/>
    </xf>
    <xf numFmtId="14" fontId="33" fillId="22" borderId="1" xfId="0" applyNumberFormat="1" applyFont="1" applyFill="1" applyBorder="1" applyAlignment="1">
      <alignment horizontal="center" vertical="center"/>
    </xf>
    <xf numFmtId="14" fontId="34" fillId="23" borderId="1" xfId="0" applyNumberFormat="1" applyFont="1" applyFill="1" applyBorder="1" applyAlignment="1">
      <alignment horizontal="center" vertical="center"/>
    </xf>
    <xf numFmtId="14" fontId="35" fillId="23" borderId="1" xfId="0" applyNumberFormat="1" applyFont="1" applyFill="1" applyBorder="1" applyAlignment="1">
      <alignment horizontal="center" vertical="center"/>
    </xf>
    <xf numFmtId="164" fontId="34" fillId="23" borderId="1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wrapText="1"/>
    </xf>
    <xf numFmtId="14" fontId="34" fillId="2" borderId="1" xfId="0" applyNumberFormat="1" applyFont="1" applyFill="1" applyBorder="1" applyAlignment="1">
      <alignment horizont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14" fontId="36" fillId="2" borderId="1" xfId="0" applyNumberFormat="1" applyFont="1" applyFill="1" applyBorder="1" applyAlignment="1">
      <alignment horizontal="center"/>
    </xf>
    <xf numFmtId="0" fontId="31" fillId="24" borderId="1" xfId="0" applyFont="1" applyFill="1" applyBorder="1" applyAlignment="1">
      <alignment horizontal="center"/>
    </xf>
    <xf numFmtId="0" fontId="39" fillId="12" borderId="1" xfId="0" applyFont="1" applyFill="1" applyBorder="1" applyAlignment="1">
      <alignment horizontal="center"/>
    </xf>
    <xf numFmtId="0" fontId="31" fillId="25" borderId="1" xfId="0" applyFont="1" applyFill="1" applyBorder="1" applyAlignment="1">
      <alignment horizontal="center"/>
    </xf>
    <xf numFmtId="0" fontId="34" fillId="14" borderId="1" xfId="0" applyFont="1" applyFill="1" applyBorder="1" applyAlignment="1">
      <alignment horizontal="center"/>
    </xf>
    <xf numFmtId="0" fontId="44" fillId="26" borderId="1" xfId="0" applyFont="1" applyFill="1" applyBorder="1" applyAlignment="1">
      <alignment horizontal="center"/>
    </xf>
    <xf numFmtId="0" fontId="37" fillId="27" borderId="1" xfId="0" applyFont="1" applyFill="1" applyBorder="1" applyAlignment="1">
      <alignment horizontal="center"/>
    </xf>
    <xf numFmtId="0" fontId="38" fillId="28" borderId="1" xfId="0" applyFont="1" applyFill="1" applyBorder="1" applyAlignment="1">
      <alignment horizontal="center"/>
    </xf>
    <xf numFmtId="14" fontId="45" fillId="4" borderId="1" xfId="0" applyNumberFormat="1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/>
    <xf numFmtId="169" fontId="46" fillId="2" borderId="1" xfId="0" applyNumberFormat="1" applyFont="1" applyFill="1" applyBorder="1" applyAlignment="1">
      <alignment horizontal="center" vertical="top" shrinkToFit="1"/>
    </xf>
    <xf numFmtId="169" fontId="46" fillId="2" borderId="1" xfId="0" applyNumberFormat="1" applyFont="1" applyFill="1" applyBorder="1" applyAlignment="1">
      <alignment horizontal="center" vertical="center" shrinkToFit="1"/>
    </xf>
    <xf numFmtId="14" fontId="19" fillId="2" borderId="1" xfId="0" applyNumberFormat="1" applyFont="1" applyFill="1" applyBorder="1" applyAlignment="1">
      <alignment horizontal="center"/>
    </xf>
    <xf numFmtId="0" fontId="19" fillId="2" borderId="0" xfId="0" applyFont="1" applyFill="1"/>
    <xf numFmtId="14" fontId="46" fillId="2" borderId="1" xfId="0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" fillId="30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vertical="center"/>
    </xf>
    <xf numFmtId="0" fontId="2" fillId="20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vertical="center"/>
    </xf>
    <xf numFmtId="0" fontId="2" fillId="3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5" fillId="10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2025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DASHBOARD!$C$5:$C$16</c:f>
              <c:numCache>
                <c:formatCode>General</c:formatCode>
                <c:ptCount val="12"/>
                <c:pt idx="0">
                  <c:v>125</c:v>
                </c:pt>
                <c:pt idx="1">
                  <c:v>620</c:v>
                </c:pt>
                <c:pt idx="2">
                  <c:v>1290</c:v>
                </c:pt>
                <c:pt idx="3">
                  <c:v>1715</c:v>
                </c:pt>
                <c:pt idx="4">
                  <c:v>565</c:v>
                </c:pt>
                <c:pt idx="5">
                  <c:v>435</c:v>
                </c:pt>
                <c:pt idx="6">
                  <c:v>3385</c:v>
                </c:pt>
                <c:pt idx="7">
                  <c:v>4520</c:v>
                </c:pt>
                <c:pt idx="8">
                  <c:v>4485</c:v>
                </c:pt>
                <c:pt idx="9">
                  <c:v>6150</c:v>
                </c:pt>
                <c:pt idx="10">
                  <c:v>3687</c:v>
                </c:pt>
                <c:pt idx="11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F-4AA9-85D7-5957A0E286C6}"/>
            </c:ext>
          </c:extLst>
        </c:ser>
        <c:ser>
          <c:idx val="1"/>
          <c:order val="1"/>
          <c:tx>
            <c:strRef>
              <c:f>DASHBOARD!$D$4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DASHBOARD!$B$5:$B$16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DASHBOARD!$D$5:$D$16</c:f>
              <c:numCache>
                <c:formatCode>General</c:formatCode>
                <c:ptCount val="12"/>
                <c:pt idx="10">
                  <c:v>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F-4AA9-85D7-5957A0E286C6}"/>
            </c:ext>
          </c:extLst>
        </c:ser>
        <c:ser>
          <c:idx val="2"/>
          <c:order val="2"/>
          <c:tx>
            <c:strRef>
              <c:f>DASHBOARD!$E$4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DASHBOARD!$B$5:$B$16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DASHBOARD!$E$5:$E$16</c:f>
              <c:numCache>
                <c:formatCode>General</c:formatCode>
                <c:ptCount val="12"/>
                <c:pt idx="10">
                  <c:v>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F-4AA9-85D7-5957A0E28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1908208"/>
        <c:axId val="1321907728"/>
        <c:axId val="0"/>
      </c:bar3DChart>
      <c:catAx>
        <c:axId val="132190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907728"/>
        <c:crosses val="autoZero"/>
        <c:auto val="1"/>
        <c:lblAlgn val="ctr"/>
        <c:lblOffset val="100"/>
        <c:noMultiLvlLbl val="0"/>
      </c:catAx>
      <c:valAx>
        <c:axId val="132190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90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[Total customer Apple Music .xlsx]PIVOT Apple Music 2025!PivotTable2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Apple Music 2025'!$B$3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Apple Music 2025'!$A$4:$A$16</c:f>
              <c:strCache>
                <c:ptCount val="12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(blank)</c:v>
                </c:pt>
              </c:strCache>
            </c:strRef>
          </c:cat>
          <c:val>
            <c:numRef>
              <c:f>'PIVOT Apple Music 2025'!$B$4:$B$16</c:f>
              <c:numCache>
                <c:formatCode>General</c:formatCode>
                <c:ptCount val="12"/>
                <c:pt idx="0">
                  <c:v>620</c:v>
                </c:pt>
                <c:pt idx="1">
                  <c:v>1290</c:v>
                </c:pt>
                <c:pt idx="2">
                  <c:v>1715</c:v>
                </c:pt>
                <c:pt idx="3">
                  <c:v>565</c:v>
                </c:pt>
                <c:pt idx="4">
                  <c:v>435</c:v>
                </c:pt>
                <c:pt idx="5">
                  <c:v>3385</c:v>
                </c:pt>
                <c:pt idx="6">
                  <c:v>4520</c:v>
                </c:pt>
                <c:pt idx="7">
                  <c:v>4485</c:v>
                </c:pt>
                <c:pt idx="8">
                  <c:v>6150</c:v>
                </c:pt>
                <c:pt idx="9">
                  <c:v>3687</c:v>
                </c:pt>
                <c:pt idx="10">
                  <c:v>161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8-4B1F-98AA-F55C221DB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9507631"/>
        <c:axId val="759503791"/>
        <c:axId val="0"/>
      </c:bar3DChart>
      <c:catAx>
        <c:axId val="75950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03791"/>
        <c:crosses val="autoZero"/>
        <c:auto val="1"/>
        <c:lblAlgn val="ctr"/>
        <c:lblOffset val="100"/>
        <c:noMultiLvlLbl val="0"/>
      </c:catAx>
      <c:valAx>
        <c:axId val="75950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0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250824</xdr:colOff>
      <xdr:row>1</xdr:row>
      <xdr:rowOff>66675</xdr:rowOff>
    </xdr:from>
    <xdr:to>
      <xdr:col>15</xdr:col>
      <xdr:colOff>577272</xdr:colOff>
      <xdr:row>22</xdr:row>
      <xdr:rowOff>69273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93D20-82D8-FE38-CE60-E2595F12B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307975</xdr:colOff>
      <xdr:row>3</xdr:row>
      <xdr:rowOff>152400</xdr:rowOff>
    </xdr:from>
    <xdr:to>
      <xdr:col>12</xdr:col>
      <xdr:colOff>3175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C2F20-FA84-6558-EFB6-D48831BE2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UNGA CHITALU" refreshedDate="46002.718531944447" createdVersion="8" refreshedVersion="8" minRefreshableVersion="3" recordCount="203" xr:uid="{35743419-66BE-43FD-B6AB-14E6DBA2D2FF}">
  <cacheSource type="worksheet">
    <worksheetSource ref="A1:K204" sheet="Total Customer Apple Music"/>
  </cacheSource>
  <cacheFields count="11">
    <cacheField name="Months " numFmtId="0">
      <sharedItems containsString="0" containsBlank="1" containsNumber="1" containsInteger="1" minValue="1" maxValue="12" count="9">
        <n v="1"/>
        <n v="2"/>
        <n v="3"/>
        <n v="12"/>
        <n v="6"/>
        <n v="4"/>
        <n v="5"/>
        <m/>
        <n v="8"/>
      </sharedItems>
    </cacheField>
    <cacheField name="price" numFmtId="0">
      <sharedItems containsString="0" containsBlank="1" containsNumber="1" containsInteger="1" minValue="32" maxValue="450" count="13">
        <n v="32"/>
        <n v="65"/>
        <n v="100"/>
        <n v="225"/>
        <n v="195"/>
        <n v="135"/>
        <n v="275"/>
        <n v="125"/>
        <m/>
        <n v="185"/>
        <n v="325"/>
        <n v="450"/>
        <n v="245"/>
      </sharedItems>
    </cacheField>
    <cacheField name="Family " numFmtId="0">
      <sharedItems containsBlank="1" count="97">
        <s v="Isaac "/>
        <s v="Sekelani"/>
        <s v="Paul"/>
        <s v="Gabriella "/>
        <s v="Stephen "/>
        <s v="Kabaya"/>
        <s v="Caleb"/>
        <s v="Caleb "/>
        <m/>
        <s v="Mukoma"/>
        <s v="Wesly "/>
        <s v="Ziko"/>
        <s v="Hussan"/>
        <s v="Wumi "/>
        <s v="Tinashe "/>
        <s v="Wumi"/>
        <s v="Zile "/>
        <s v="Zile"/>
        <s v="Mwenya"/>
        <s v="Namooya"/>
        <s v="Kanyanta"/>
        <s v="Warren"/>
        <s v="Warren "/>
        <s v="Mwitwa"/>
        <s v="Chipo "/>
        <s v="Agness"/>
        <s v="Stephan "/>
        <s v="Chichi"/>
        <s v="Hassan"/>
        <s v="Princess "/>
        <s v="Mwenya "/>
        <s v="Tionge "/>
        <s v="Panji "/>
        <s v="Panji"/>
        <s v="𝐇𝐚𝐤𝐞𝐞𝐦 "/>
        <s v="Wendy"/>
        <s v="Lisa"/>
        <s v="Cement"/>
        <s v="Jack"/>
        <s v="Tionge"/>
        <s v="Kasy"/>
        <s v="Chichi "/>
        <s v="Liora"/>
        <s v="Kondwani"/>
        <s v="Shammha "/>
        <s v="Mukoma Musonda"/>
        <s v="Bongani Munalula "/>
        <s v="Zharina "/>
        <s v="Vanessa "/>
        <s v="Cement "/>
        <s v="Zharina"/>
        <s v="Hakeem "/>
        <s v="Individual "/>
        <s v="Kondwani "/>
        <s v="Kelis "/>
        <s v="Chimwme"/>
        <s v="Sean"/>
        <s v="Andrew "/>
        <s v="Tinashe"/>
        <s v="Zadok"/>
        <s v="Chimfwenbe "/>
        <s v="Bongani"/>
        <s v="Wesly"/>
        <s v="Lukas"/>
        <s v="Lukas "/>
        <s v="Mary"/>
        <s v="Chimwemwe "/>
        <s v="Faith "/>
        <s v="Ray"/>
        <s v="Joshua "/>
        <s v="Paul "/>
        <s v="Palo"/>
        <s v="Kelis"/>
        <s v="Faith m"/>
        <s v="Kajila"/>
        <s v="Kajia"/>
        <s v="Nangoma "/>
        <s v="chimwemwe banda"/>
        <s v="Twauvla "/>
        <s v="Faith"/>
        <s v="Bongani "/>
        <s v="Wendy kalinda "/>
        <s v="Lupupa"/>
        <s v="Chipo X"/>
        <s v="Mwita"/>
        <s v="Sekelani Zulu"/>
        <s v="Liora "/>
        <s v="Zadok "/>
        <s v="Chiluba "/>
        <s v="Aggie "/>
        <s v="Kuka snap "/>
        <s v="Charlie "/>
        <s v="Lupupa "/>
        <s v="Nangoma"/>
        <s v="Twavula"/>
        <s v="Mwita "/>
        <s v="Nyangu "/>
      </sharedItems>
    </cacheField>
    <cacheField name="Paid date " numFmtId="0">
      <sharedItems containsSemiMixedTypes="0" containsNonDate="0" containsDate="1" containsString="0" minDate="2024-12-19T00:00:00" maxDate="2025-12-07T00:00:00"/>
    </cacheField>
    <cacheField name="Expire date " numFmtId="0">
      <sharedItems containsDate="1" containsBlank="1" containsMixedTypes="1" minDate="2025-01-02T00:00:00" maxDate="2028-12-04T00:00:00" count="115">
        <d v="2026-01-06T00:00:00"/>
        <d v="2025-12-06T00:00:00"/>
        <d v="2026-01-04T00:00:00"/>
        <d v="2026-01-02T00:00:00"/>
        <d v="2025-12-29T00:00:00"/>
        <d v="2025-12-28T00:00:00"/>
        <d v="2025-02-28T00:00:00"/>
        <d v="2026-02-28T00:00:00"/>
        <d v="2026-01-28T00:00:00"/>
        <d v="2026-11-27T00:00:00"/>
        <d v="2026-01-27T00:00:00"/>
        <d v="2025-12-27T00:00:00"/>
        <d v="2025-12-26T00:00:00"/>
        <d v="2026-01-25T00:00:00"/>
        <d v="2026-02-24T00:00:00"/>
        <d v="2026-01-24T00:00:00"/>
        <d v="2026-02-23T00:00:00"/>
        <d v="2026-01-23T00:00:00"/>
        <d v="2025-12-23T00:00:00"/>
        <d v="2026-03-21T00:00:00"/>
        <d v="2026-01-21T00:00:00"/>
        <d v="2025-12-21T00:00:00"/>
        <d v="2026-02-20T00:00:00"/>
        <d v="2026-02-17T00:00:00"/>
        <d v="2026-01-17T00:00:00"/>
        <d v="2025-12-17T00:00:00"/>
        <d v="2026-01-16T00:00:00"/>
        <d v="2026-02-15T00:00:00"/>
        <d v="2026-01-15T00:00:00"/>
        <d v="2025-12-15T00:00:00"/>
        <d v="2026-02-14T00:00:00"/>
        <d v="2026-01-14T00:00:00"/>
        <d v="2025-12-14T00:00:00"/>
        <d v="2026-01-13T00:00:00"/>
        <d v="2026-12-12T00:00:00"/>
        <d v="2026-02-12T00:00:00"/>
        <d v="2026-01-11T00:00:00"/>
        <d v="2026-01-10T00:00:00"/>
        <d v="2026-04-02T00:00:00"/>
        <d v="2026-01-01T00:00:00"/>
        <d v="2026-04-30T00:00:00"/>
        <d v="2026-03-27T00:00:00"/>
        <d v="2025-12-25T00:00:00"/>
        <d v="2025-12-24T00:00:00"/>
        <d v="2025-11-24T00:00:00"/>
        <d v="2025-12-22T00:00:00"/>
        <d v="2026-04-21T00:00:00"/>
        <d v="2025-11-21T00:00:00"/>
        <d v="2026-01-18T00:00:00"/>
        <d v="2026-04-14T00:00:00"/>
        <d v="2025-12-13T00:00:00"/>
        <d v="2026-04-09T00:00:00"/>
        <d v="2026-01-09T00:00:00"/>
        <d v="2025-12-09T00:00:00"/>
        <d v="2026-01-05T00:00:00"/>
        <d v="2028-12-03T00:00:00"/>
        <d v="2026-04-03T00:00:00"/>
        <d v="2026-01-03T00:00:00"/>
        <d v="2026-09-26T00:00:00"/>
        <d v="2026-03-26T00:00:00"/>
        <d v="2026-04-19T00:00:00"/>
        <d v="2026-02-18T00:00:00"/>
        <d v="2026-03-12T00:00:00"/>
        <d v="2026-03-10T00:00:00"/>
        <d v="2026-02-09T00:00:00"/>
        <d v="2026-02-07T00:00:00"/>
        <d v="2025-01-05T00:00:00"/>
        <d v="2025-11-01T00:00:00"/>
        <d v="2026-02-27T00:00:00"/>
        <d v="2026-01-26T00:00:00"/>
        <d v="2026-02-25T00:00:00"/>
        <d v="2026-02-22T00:00:00"/>
        <d v="2026-01-22T00:00:00"/>
        <d v="2025-11-19T00:00:00"/>
        <d v="2026-03-13T00:00:00"/>
        <d v="2025-09-10T00:00:00"/>
        <d v="2026-08-08T00:00:00"/>
        <d v="2026-01-08T00:00:00"/>
        <d v="2025-12-19T00:00:00"/>
        <d v="2026-10-05T00:00:00"/>
        <d v="2025-01-02T00:00:00"/>
        <d v="2025-12-08T00:00:00"/>
        <d v="2025-12-30T00:00:00"/>
        <d v="2025-09-29T00:00:00"/>
        <d v="2025-08-27T00:00:00"/>
        <d v="2025-10-25T00:00:00"/>
        <d v="2025-08-24T00:00:00"/>
        <d v="2025-08-22T00:00:00"/>
        <d v="2026-07-19T00:00:00"/>
        <d v="2025-12-04T00:00:00"/>
        <d v="2025-12-07T00:00:00"/>
        <d v="2026-02-04T00:00:00"/>
        <d v="2026-03-03T00:00:00"/>
        <m/>
        <d v="2026-02-16T00:00:00"/>
        <d v="2025-08-03T00:00:00"/>
        <d v="2026-07-27T00:00:00"/>
        <d v="2025-06-03T00:00:00"/>
        <d v="2025-12-03T00:00:00"/>
        <s v="29/02/2026"/>
        <d v="2025-11-28T00:00:00"/>
        <d v="2025-09-28T00:00:00"/>
        <d v="2026-03-20T00:00:00"/>
        <d v="2026-11-19T00:00:00"/>
        <d v="2026-02-13T00:00:00"/>
        <d v="2025-09-09T00:00:00"/>
        <d v="2026-02-19T00:00:00"/>
        <d v="2025-07-04T00:00:00"/>
        <d v="2026-09-02T00:00:00"/>
        <d v="2026-07-29T00:00:00"/>
        <d v="2025-01-20T00:00:00"/>
        <d v="2026-03-14T00:00:00"/>
        <d v="2026-02-01T00:00:00"/>
        <d v="2025-12-05T00:00:00"/>
        <d v="2025-06-19T00:00:00"/>
      </sharedItems>
    </cacheField>
    <cacheField name="Number " numFmtId="0">
      <sharedItems containsMixedTypes="1" containsNumber="1" containsInteger="1" minValue="760630696" maxValue="260779201901"/>
    </cacheField>
    <cacheField name="Name " numFmtId="0">
      <sharedItems count="196">
        <s v="Isaac Nseluka"/>
        <s v="Zoey"/>
        <s v="Levy "/>
        <s v="Chifuniro Zulu"/>
        <s v="Gianna mabuku"/>
        <s v="Elizabeth Daka "/>
        <s v="Tapiwa Banda"/>
        <s v="Zango m "/>
        <s v="Benjamin lukamba"/>
        <s v="Paul Katongo"/>
        <s v="Ameenah Fatacky"/>
        <s v="Nelson Malunga"/>
        <s v="Chiza Ngoma-Nicholas Jr."/>
        <s v="temwani nawale"/>
        <s v="Salim"/>
        <s v="Mukuka Bwalya"/>
        <s v="Erykah Daff"/>
        <s v="Wana Moonga"/>
        <s v="Twiase"/>
        <s v="Tanaka "/>
        <s v="Flo "/>
        <s v="Ethan mvula "/>
        <s v="Milo Sililo "/>
        <s v="Latifah "/>
        <s v="Jojo"/>
        <s v="Rafael"/>
        <s v="Jackie"/>
        <s v="Joy"/>
        <s v="Jo-Ann "/>
        <s v="Nissa "/>
        <s v="Vanessa 2"/>
        <s v="Mutibo "/>
        <s v="Niza sampa "/>
        <s v="Alick Luchembe"/>
        <s v="Georgina Banda"/>
        <s v="Zima"/>
        <s v="Chikondi "/>
        <s v="Tiwonge "/>
        <s v="Kassie 2"/>
        <s v="Michelle "/>
        <s v="Yamihle "/>
        <s v="David sampa "/>
        <s v="Thwani"/>
        <s v="Tehillah "/>
        <s v="MB"/>
        <s v="Mwenya 3"/>
        <s v="Chikondi"/>
        <s v="Clarence "/>
        <s v="Zoe"/>
        <s v="Tyann"/>
        <s v="Jemimah "/>
        <s v="Jimbo"/>
        <s v="Fridah "/>
        <s v="Londi"/>
        <s v="Mada "/>
        <s v="Chileleko "/>
        <s v="Patrick 2"/>
        <s v="Chopper"/>
        <s v="Hellen "/>
        <s v="Tuzange"/>
        <s v="Kassie"/>
        <s v="𝐇𝐚𝐤𝐞𝐞𝐦 "/>
        <s v="Mukoma Musonda"/>
        <s v="Lubuto"/>
        <s v="Omari"/>
        <s v="Josh "/>
        <s v="Jacobo "/>
        <s v="Frankel"/>
        <s v="Don Darryl "/>
        <s v="Patience Ally"/>
        <s v="Chishala"/>
        <s v="Nate"/>
        <s v="Patrick"/>
        <s v="Twavula "/>
        <s v="Mwenya 2"/>
        <s v="Precious Maviya."/>
        <s v="Robyn "/>
        <s v="Enjoy"/>
        <s v="Greg"/>
        <s v="Chim"/>
        <s v="TOPFLOORBOS"/>
        <s v="Edwin "/>
        <s v="Ndabe"/>
        <s v="Luwi "/>
        <s v="Mwenda"/>
        <s v="Mufaro"/>
        <s v="Chabota"/>
        <s v="Chisenga "/>
        <s v="Knowitall "/>
        <s v="Chisanga "/>
        <s v="Enockbalina "/>
        <s v="Cammy"/>
        <s v="David stone jr "/>
        <s v="Ria Myra"/>
        <s v="Nobuhle"/>
        <s v="Bupe "/>
        <s v="Wesly "/>
        <s v="William "/>
        <s v="Jeda "/>
        <s v="Anna"/>
        <s v="Dainess "/>
        <s v="Hassan "/>
        <s v="Isubilo "/>
        <s v="Nicolas "/>
        <s v="Natasha "/>
        <s v="Samantha "/>
        <s v="Doc"/>
        <s v="Aaron jr"/>
        <s v="Angi"/>
        <s v="Chipampe Natalie "/>
        <s v="Muchimba "/>
        <s v="mwen "/>
        <s v="Sharon "/>
        <s v="Shawn"/>
        <s v="Nathan "/>
        <s v="Nandi"/>
        <s v="DENNIS"/>
        <s v="Muleya Apple Music"/>
        <s v="Cosmo"/>
        <s v="Genie"/>
        <s v="Kajila  "/>
        <s v="Cosmo "/>
        <s v="Kelis "/>
        <s v="Mwila "/>
        <s v="Tinashe "/>
        <s v="Mwiche "/>
        <s v="Gomezyani "/>
        <s v="Katongo mubi "/>
        <s v="chimwemwe banda"/>
        <s v="Luyando Chuube "/>
        <s v="Kangwa Bwalya"/>
        <s v="Vincent "/>
        <s v="Mwenyakunda "/>
        <s v="Chen"/>
        <s v="Maiki "/>
        <s v="Lushom"/>
        <s v="Shebo"/>
        <s v="Kunda "/>
        <s v="Muchemwa"/>
        <s v="DENNIS "/>
        <s v="Seshi"/>
        <s v="Thokozile "/>
        <s v="Sifunganyambe Luse"/>
        <s v="Faith 2"/>
        <s v="Gabriella Blackbone"/>
        <s v="𝓚𝓲𝓽𝓪𝓪𝓪𝓪 "/>
        <s v="Lukas"/>
        <s v="Mike’s Artbox"/>
        <s v="Dalitso Mwale."/>
        <s v="Kafumukache"/>
        <s v="Denny "/>
        <s v="Sam Kondwani"/>
        <s v="Agness "/>
        <s v="Peter Lupupa "/>
        <s v="Winson  Siame"/>
        <s v="Faith maya "/>
        <s v="𝑻𝒊𝒕𝒔𝒂𝒕𝒂𝒏𝒆"/>
        <s v="Kasonde "/>
        <s v="Alex "/>
        <s v="Elizabeth "/>
        <s v="Stephenie"/>
        <s v="𝓥𝓲𝓸𝓵𝓪𝓱 "/>
        <s v="Ngosa"/>
        <s v="Zenga "/>
        <s v="Jeff Changu"/>
        <s v="Thabo "/>
        <s v="Boas Mwaba "/>
        <s v="Ngosa "/>
        <s v="Twiza "/>
        <s v="kundananji"/>
        <s v="Chisala "/>
        <s v="Tawanayahasha "/>
        <s v="Princes"/>
        <s v="Francine "/>
        <s v="Matutu "/>
        <s v="Bongani "/>
        <s v="Choolwe Kapalasa"/>
        <s v="Margret "/>
        <s v="Mutinta choongo"/>
        <s v="Maleka"/>
        <s v="Cornhill Shoen "/>
        <s v="Sèan Daglous"/>
        <s v="Joshua "/>
        <s v="Khondwa"/>
        <s v="Lisa "/>
        <s v="Chichi"/>
        <s v="Lupupa"/>
        <s v="Aggie "/>
        <s v="Mwiza Gostave"/>
        <s v="Promise"/>
        <s v="Joshua Harawa"/>
        <s v="Faith"/>
        <s v="Smith "/>
        <s v="Lukonde "/>
        <s v="Nthanda"/>
        <s v="Chipo x"/>
      </sharedItems>
    </cacheField>
    <cacheField name="TODAYS DATE" numFmtId="14">
      <sharedItems containsSemiMixedTypes="0" containsNonDate="0" containsDate="1" containsString="0" minDate="2025-12-11T17:14:26" maxDate="2025-12-11T17:14:26"/>
    </cacheField>
    <cacheField name="DUE DATE" numFmtId="1">
      <sharedItems containsMixedTypes="1" containsNumber="1" minValue="-46002.718359143517" maxValue="1087.2816408564831" count="115">
        <n v="25.281640856483136"/>
        <n v="-5.7183591435168637"/>
        <n v="23.281640856483136"/>
        <n v="21.281640856483136"/>
        <n v="17.281640856483136"/>
        <n v="16.281640856483136"/>
        <n v="-286.71835914351686"/>
        <n v="78.281640856483136"/>
        <n v="47.281640856483136"/>
        <n v="350.28164085648314"/>
        <n v="46.281640856483136"/>
        <n v="15.281640856483136"/>
        <n v="14.281640856483136"/>
        <n v="44.281640856483136"/>
        <n v="74.281640856483136"/>
        <n v="43.281640856483136"/>
        <n v="73.281640856483136"/>
        <n v="42.281640856483136"/>
        <n v="11.281640856483136"/>
        <n v="99.281640856483136"/>
        <n v="40.281640856483136"/>
        <n v="9.2816408564831363"/>
        <n v="70.281640856483136"/>
        <n v="67.281640856483136"/>
        <n v="36.281640856483136"/>
        <n v="5.2816408564831363"/>
        <n v="35.281640856483136"/>
        <n v="65.281640856483136"/>
        <n v="34.281640856483136"/>
        <n v="3.2816408564831363"/>
        <n v="64.281640856483136"/>
        <n v="33.281640856483136"/>
        <n v="2.2816408564831363"/>
        <n v="32.281640856483136"/>
        <n v="365.28164085648314"/>
        <n v="62.281640856483136"/>
        <n v="30.281640856483136"/>
        <n v="29.281640856483136"/>
        <n v="111.28164085648314"/>
        <n v="20.281640856483136"/>
        <n v="139.28164085648314"/>
        <n v="105.28164085648314"/>
        <n v="13.281640856483136"/>
        <n v="12.281640856483136"/>
        <n v="-17.718359143516864"/>
        <n v="10.281640856483136"/>
        <n v="130.28164085648314"/>
        <n v="-20.718359143516864"/>
        <n v="37.281640856483136"/>
        <n v="123.28164085648314"/>
        <n v="1.2816408564831363"/>
        <n v="118.28164085648314"/>
        <n v="28.281640856483136"/>
        <n v="-2.7183591435168637"/>
        <n v="24.281640856483136"/>
        <n v="1087.2816408564831"/>
        <n v="112.28164085648314"/>
        <n v="22.281640856483136"/>
        <n v="288.28164085648314"/>
        <n v="104.28164085648314"/>
        <n v="128.28164085648314"/>
        <n v="68.281640856483136"/>
        <n v="90.281640856483136"/>
        <n v="88.281640856483136"/>
        <n v="59.281640856483136"/>
        <n v="57.281640856483136"/>
        <n v="-340.71835914351686"/>
        <n v="-40.718359143516864"/>
        <n v="77.281640856483136"/>
        <n v="45.281640856483136"/>
        <n v="75.281640856483136"/>
        <n v="72.281640856483136"/>
        <n v="41.281640856483136"/>
        <n v="-22.718359143516864"/>
        <n v="91.281640856483136"/>
        <n v="-92.718359143516864"/>
        <n v="239.28164085648314"/>
        <n v="27.281640856483136"/>
        <n v="7.2816408564831363"/>
        <n v="297.28164085648314"/>
        <n v="-343.71835914351686"/>
        <n v="-3.7183591435168637"/>
        <n v="18.281640856483136"/>
        <n v="-73.718359143516864"/>
        <n v="-106.71835914351686"/>
        <n v="-47.718359143516864"/>
        <n v="-109.71835914351686"/>
        <n v="-111.71835914351686"/>
        <n v="219.28164085648314"/>
        <n v="-7.7183591435168637"/>
        <n v="-4.7183591435168637"/>
        <n v="54.281640856483136"/>
        <n v="81.281640856483136"/>
        <n v="-46002.718359143517"/>
        <n v="66.281640856483136"/>
        <n v="-130.71835914351686"/>
        <n v="227.28164085648314"/>
        <n v="-191.71835914351686"/>
        <n v="-8.7183591435168637"/>
        <e v="#VALUE!"/>
        <n v="-13.718359143516864"/>
        <n v="-74.718359143516864"/>
        <n v="98.281640856483136"/>
        <n v="342.28164085648314"/>
        <n v="63.281640856483136"/>
        <n v="-93.718359143516864"/>
        <n v="69.281640856483136"/>
        <n v="-160.71835914351686"/>
        <n v="264.28164085648314"/>
        <n v="229.28164085648314"/>
        <n v="-325.71835914351686"/>
        <n v="92.281640856483136"/>
        <n v="51.281640856483136"/>
        <n v="-6.7183591435168637"/>
        <n v="-175.71835914351686"/>
      </sharedItems>
    </cacheField>
    <cacheField name="STATUS" numFmtId="0">
      <sharedItems count="5">
        <s v="DUE THIS MONTH"/>
        <s v="EXPIRED"/>
        <s v="ACTIVE"/>
        <s v="DUE THIS WEEK"/>
        <e v="#VALUE!"/>
      </sharedItems>
    </cacheField>
    <cacheField name="MONTH" numFmtId="0">
      <sharedItems containsBlank="1"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x v="0"/>
    <x v="0"/>
    <x v="0"/>
    <d v="2025-12-06T00:00:00"/>
    <x v="0"/>
    <n v="777768771"/>
    <x v="0"/>
    <d v="2025-12-11T17:14:26"/>
    <x v="0"/>
    <x v="0"/>
    <x v="0"/>
  </r>
  <r>
    <x v="1"/>
    <x v="1"/>
    <x v="1"/>
    <d v="2025-12-06T00:00:00"/>
    <x v="1"/>
    <s v="096 7365292"/>
    <x v="1"/>
    <d v="2025-12-11T17:14:26"/>
    <x v="1"/>
    <x v="1"/>
    <x v="0"/>
  </r>
  <r>
    <x v="0"/>
    <x v="0"/>
    <x v="2"/>
    <d v="2025-12-04T00:00:00"/>
    <x v="2"/>
    <n v="773368022"/>
    <x v="2"/>
    <d v="2025-12-11T17:14:26"/>
    <x v="2"/>
    <x v="0"/>
    <x v="0"/>
  </r>
  <r>
    <x v="0"/>
    <x v="0"/>
    <x v="3"/>
    <d v="2025-12-02T00:00:00"/>
    <x v="3"/>
    <n v="975201345"/>
    <x v="3"/>
    <d v="2025-12-11T17:14:26"/>
    <x v="3"/>
    <x v="0"/>
    <x v="0"/>
  </r>
  <r>
    <x v="0"/>
    <x v="0"/>
    <x v="4"/>
    <d v="2025-11-29T00:00:00"/>
    <x v="4"/>
    <n v="964668081"/>
    <x v="4"/>
    <d v="2025-12-11T17:14:26"/>
    <x v="4"/>
    <x v="0"/>
    <x v="1"/>
  </r>
  <r>
    <x v="0"/>
    <x v="0"/>
    <x v="5"/>
    <d v="2025-11-29T00:00:00"/>
    <x v="4"/>
    <n v="957985331"/>
    <x v="5"/>
    <d v="2025-12-11T17:14:26"/>
    <x v="4"/>
    <x v="0"/>
    <x v="1"/>
  </r>
  <r>
    <x v="0"/>
    <x v="0"/>
    <x v="4"/>
    <d v="2025-11-29T00:00:00"/>
    <x v="4"/>
    <n v="978490644"/>
    <x v="6"/>
    <d v="2025-12-11T17:14:26"/>
    <x v="4"/>
    <x v="0"/>
    <x v="1"/>
  </r>
  <r>
    <x v="0"/>
    <x v="0"/>
    <x v="6"/>
    <d v="2025-11-29T00:00:00"/>
    <x v="4"/>
    <s v="096 0992424"/>
    <x v="7"/>
    <d v="2025-12-11T17:14:26"/>
    <x v="4"/>
    <x v="0"/>
    <x v="1"/>
  </r>
  <r>
    <x v="0"/>
    <x v="0"/>
    <x v="7"/>
    <d v="2025-11-28T00:00:00"/>
    <x v="5"/>
    <n v="767070164"/>
    <x v="8"/>
    <d v="2025-12-11T17:14:26"/>
    <x v="5"/>
    <x v="0"/>
    <x v="1"/>
  </r>
  <r>
    <x v="2"/>
    <x v="2"/>
    <x v="8"/>
    <d v="2025-11-28T00:00:00"/>
    <x v="6"/>
    <n v="978478417"/>
    <x v="9"/>
    <d v="2025-12-11T17:14:26"/>
    <x v="6"/>
    <x v="1"/>
    <x v="1"/>
  </r>
  <r>
    <x v="2"/>
    <x v="2"/>
    <x v="5"/>
    <d v="2025-11-28T00:00:00"/>
    <x v="7"/>
    <s v="60 97 5467109"/>
    <x v="10"/>
    <d v="2025-12-11T17:14:26"/>
    <x v="7"/>
    <x v="2"/>
    <x v="1"/>
  </r>
  <r>
    <x v="1"/>
    <x v="1"/>
    <x v="9"/>
    <d v="2025-11-28T00:00:00"/>
    <x v="8"/>
    <s v="097 2159192"/>
    <x v="11"/>
    <d v="2025-12-11T17:14:26"/>
    <x v="8"/>
    <x v="2"/>
    <x v="1"/>
  </r>
  <r>
    <x v="1"/>
    <x v="1"/>
    <x v="8"/>
    <d v="2025-11-28T00:00:00"/>
    <x v="8"/>
    <n v="961817836"/>
    <x v="12"/>
    <d v="2025-12-11T17:14:26"/>
    <x v="8"/>
    <x v="2"/>
    <x v="1"/>
  </r>
  <r>
    <x v="3"/>
    <x v="3"/>
    <x v="10"/>
    <d v="2025-11-27T00:00:00"/>
    <x v="9"/>
    <n v="973208399"/>
    <x v="13"/>
    <d v="2025-12-11T17:14:26"/>
    <x v="9"/>
    <x v="2"/>
    <x v="1"/>
  </r>
  <r>
    <x v="1"/>
    <x v="1"/>
    <x v="11"/>
    <d v="2025-11-27T00:00:00"/>
    <x v="10"/>
    <s v="097 1997704"/>
    <x v="14"/>
    <d v="2025-12-11T17:14:26"/>
    <x v="10"/>
    <x v="2"/>
    <x v="1"/>
  </r>
  <r>
    <x v="0"/>
    <x v="0"/>
    <x v="12"/>
    <d v="2025-11-27T00:00:00"/>
    <x v="11"/>
    <n v="260776149435"/>
    <x v="15"/>
    <d v="2025-12-11T17:14:26"/>
    <x v="11"/>
    <x v="0"/>
    <x v="1"/>
  </r>
  <r>
    <x v="0"/>
    <x v="0"/>
    <x v="13"/>
    <d v="2025-11-26T00:00:00"/>
    <x v="12"/>
    <n v="960161606"/>
    <x v="16"/>
    <d v="2025-12-11T17:14:26"/>
    <x v="12"/>
    <x v="0"/>
    <x v="1"/>
  </r>
  <r>
    <x v="0"/>
    <x v="0"/>
    <x v="14"/>
    <d v="2025-11-26T00:00:00"/>
    <x v="12"/>
    <n v="260770773549"/>
    <x v="17"/>
    <d v="2025-12-11T17:14:26"/>
    <x v="12"/>
    <x v="0"/>
    <x v="1"/>
  </r>
  <r>
    <x v="1"/>
    <x v="1"/>
    <x v="13"/>
    <d v="2025-11-25T00:00:00"/>
    <x v="13"/>
    <n v="972371009"/>
    <x v="18"/>
    <d v="2025-12-11T17:14:26"/>
    <x v="13"/>
    <x v="2"/>
    <x v="1"/>
  </r>
  <r>
    <x v="1"/>
    <x v="1"/>
    <x v="15"/>
    <d v="2025-11-25T00:00:00"/>
    <x v="13"/>
    <n v="771993800"/>
    <x v="19"/>
    <d v="2025-12-11T17:14:26"/>
    <x v="13"/>
    <x v="2"/>
    <x v="1"/>
  </r>
  <r>
    <x v="1"/>
    <x v="1"/>
    <x v="16"/>
    <d v="2025-11-24T00:00:00"/>
    <x v="14"/>
    <n v="975741666"/>
    <x v="20"/>
    <d v="2025-12-11T17:14:26"/>
    <x v="14"/>
    <x v="2"/>
    <x v="1"/>
  </r>
  <r>
    <x v="1"/>
    <x v="1"/>
    <x v="17"/>
    <d v="2025-11-24T00:00:00"/>
    <x v="15"/>
    <s v="097 9758092"/>
    <x v="21"/>
    <d v="2025-12-11T17:14:26"/>
    <x v="15"/>
    <x v="2"/>
    <x v="1"/>
  </r>
  <r>
    <x v="1"/>
    <x v="1"/>
    <x v="8"/>
    <d v="2025-11-24T00:00:00"/>
    <x v="15"/>
    <n v="973724846"/>
    <x v="22"/>
    <d v="2025-12-11T17:14:26"/>
    <x v="15"/>
    <x v="2"/>
    <x v="1"/>
  </r>
  <r>
    <x v="2"/>
    <x v="2"/>
    <x v="18"/>
    <d v="2025-11-23T00:00:00"/>
    <x v="16"/>
    <n v="776552506"/>
    <x v="23"/>
    <d v="2025-12-11T17:14:26"/>
    <x v="16"/>
    <x v="2"/>
    <x v="1"/>
  </r>
  <r>
    <x v="1"/>
    <x v="1"/>
    <x v="19"/>
    <d v="2025-11-23T00:00:00"/>
    <x v="17"/>
    <n v="954049056"/>
    <x v="24"/>
    <d v="2025-12-11T17:14:26"/>
    <x v="17"/>
    <x v="2"/>
    <x v="1"/>
  </r>
  <r>
    <x v="0"/>
    <x v="0"/>
    <x v="20"/>
    <d v="2025-11-23T00:00:00"/>
    <x v="18"/>
    <s v="097 1833083"/>
    <x v="25"/>
    <d v="2025-12-11T17:14:26"/>
    <x v="18"/>
    <x v="0"/>
    <x v="1"/>
  </r>
  <r>
    <x v="2"/>
    <x v="2"/>
    <x v="21"/>
    <d v="2025-11-21T00:00:00"/>
    <x v="19"/>
    <n v="772734094"/>
    <x v="26"/>
    <d v="2025-12-11T17:14:26"/>
    <x v="19"/>
    <x v="2"/>
    <x v="1"/>
  </r>
  <r>
    <x v="1"/>
    <x v="1"/>
    <x v="11"/>
    <d v="2025-11-21T00:00:00"/>
    <x v="20"/>
    <n v="967990940"/>
    <x v="27"/>
    <d v="2025-12-11T17:14:26"/>
    <x v="20"/>
    <x v="2"/>
    <x v="1"/>
  </r>
  <r>
    <x v="0"/>
    <x v="0"/>
    <x v="22"/>
    <d v="2025-11-21T00:00:00"/>
    <x v="21"/>
    <s v="097 1016943"/>
    <x v="28"/>
    <d v="2025-12-11T17:14:26"/>
    <x v="21"/>
    <x v="0"/>
    <x v="1"/>
  </r>
  <r>
    <x v="2"/>
    <x v="2"/>
    <x v="11"/>
    <d v="2025-11-20T00:00:00"/>
    <x v="22"/>
    <n v="770438283"/>
    <x v="29"/>
    <d v="2025-12-11T17:14:26"/>
    <x v="22"/>
    <x v="2"/>
    <x v="1"/>
  </r>
  <r>
    <x v="1"/>
    <x v="1"/>
    <x v="23"/>
    <d v="2025-11-17T00:00:00"/>
    <x v="23"/>
    <s v="0 96 8748589"/>
    <x v="30"/>
    <d v="2025-12-11T17:14:26"/>
    <x v="23"/>
    <x v="2"/>
    <x v="1"/>
  </r>
  <r>
    <x v="1"/>
    <x v="1"/>
    <x v="24"/>
    <d v="2025-11-17T00:00:00"/>
    <x v="24"/>
    <s v="095 7999876"/>
    <x v="31"/>
    <d v="2025-12-11T17:14:26"/>
    <x v="24"/>
    <x v="2"/>
    <x v="1"/>
  </r>
  <r>
    <x v="0"/>
    <x v="0"/>
    <x v="25"/>
    <d v="2025-11-17T00:00:00"/>
    <x v="25"/>
    <n v="761673610"/>
    <x v="32"/>
    <d v="2025-12-11T17:14:26"/>
    <x v="25"/>
    <x v="3"/>
    <x v="1"/>
  </r>
  <r>
    <x v="0"/>
    <x v="0"/>
    <x v="26"/>
    <d v="2025-11-17T00:00:00"/>
    <x v="25"/>
    <n v="976433541"/>
    <x v="33"/>
    <d v="2025-12-11T17:14:26"/>
    <x v="25"/>
    <x v="3"/>
    <x v="1"/>
  </r>
  <r>
    <x v="0"/>
    <x v="0"/>
    <x v="24"/>
    <d v="2025-11-17T00:00:00"/>
    <x v="25"/>
    <s v="097 0126202"/>
    <x v="34"/>
    <d v="2025-12-11T17:14:26"/>
    <x v="25"/>
    <x v="3"/>
    <x v="1"/>
  </r>
  <r>
    <x v="1"/>
    <x v="1"/>
    <x v="27"/>
    <d v="2025-11-16T00:00:00"/>
    <x v="26"/>
    <s v="278 874 4694"/>
    <x v="35"/>
    <d v="2025-12-11T17:14:26"/>
    <x v="26"/>
    <x v="2"/>
    <x v="1"/>
  </r>
  <r>
    <x v="2"/>
    <x v="2"/>
    <x v="11"/>
    <d v="2025-11-15T00:00:00"/>
    <x v="27"/>
    <s v="0 97 3809971"/>
    <x v="36"/>
    <d v="2025-12-11T17:14:26"/>
    <x v="27"/>
    <x v="2"/>
    <x v="1"/>
  </r>
  <r>
    <x v="1"/>
    <x v="1"/>
    <x v="28"/>
    <d v="2025-11-15T00:00:00"/>
    <x v="28"/>
    <n v="773740049"/>
    <x v="37"/>
    <d v="2025-12-11T17:14:26"/>
    <x v="28"/>
    <x v="2"/>
    <x v="1"/>
  </r>
  <r>
    <x v="1"/>
    <x v="1"/>
    <x v="24"/>
    <d v="2025-11-15T00:00:00"/>
    <x v="28"/>
    <s v="097 0633260"/>
    <x v="38"/>
    <d v="2025-12-11T17:14:26"/>
    <x v="28"/>
    <x v="2"/>
    <x v="1"/>
  </r>
  <r>
    <x v="0"/>
    <x v="0"/>
    <x v="29"/>
    <d v="2025-11-15T00:00:00"/>
    <x v="29"/>
    <n v="772691176"/>
    <x v="39"/>
    <d v="2025-12-11T17:14:26"/>
    <x v="29"/>
    <x v="3"/>
    <x v="1"/>
  </r>
  <r>
    <x v="0"/>
    <x v="0"/>
    <x v="27"/>
    <d v="2025-11-15T00:00:00"/>
    <x v="29"/>
    <s v="263 78 874 4694"/>
    <x v="40"/>
    <d v="2025-12-11T17:14:26"/>
    <x v="29"/>
    <x v="3"/>
    <x v="1"/>
  </r>
  <r>
    <x v="4"/>
    <x v="4"/>
    <x v="30"/>
    <d v="2025-11-14T00:00:00"/>
    <x v="30"/>
    <n v="60779320678"/>
    <x v="41"/>
    <d v="2025-12-11T17:14:26"/>
    <x v="30"/>
    <x v="2"/>
    <x v="1"/>
  </r>
  <r>
    <x v="1"/>
    <x v="1"/>
    <x v="31"/>
    <d v="2025-11-14T00:00:00"/>
    <x v="31"/>
    <s v="097 0702121"/>
    <x v="42"/>
    <d v="2025-12-11T17:14:26"/>
    <x v="31"/>
    <x v="2"/>
    <x v="1"/>
  </r>
  <r>
    <x v="0"/>
    <x v="0"/>
    <x v="8"/>
    <d v="2025-11-14T00:00:00"/>
    <x v="32"/>
    <s v="097 5367166"/>
    <x v="43"/>
    <d v="2025-12-11T17:14:26"/>
    <x v="32"/>
    <x v="3"/>
    <x v="1"/>
  </r>
  <r>
    <x v="2"/>
    <x v="2"/>
    <x v="32"/>
    <d v="2025-11-13T00:00:00"/>
    <x v="33"/>
    <n v="774967746"/>
    <x v="44"/>
    <d v="2025-12-11T17:14:26"/>
    <x v="33"/>
    <x v="2"/>
    <x v="1"/>
  </r>
  <r>
    <x v="3"/>
    <x v="3"/>
    <x v="32"/>
    <d v="2025-11-12T00:00:00"/>
    <x v="34"/>
    <n v="768846867"/>
    <x v="45"/>
    <d v="2025-12-11T17:14:26"/>
    <x v="34"/>
    <x v="2"/>
    <x v="1"/>
  </r>
  <r>
    <x v="2"/>
    <x v="2"/>
    <x v="33"/>
    <d v="2025-11-12T00:00:00"/>
    <x v="35"/>
    <s v="096 7101367"/>
    <x v="46"/>
    <d v="2025-12-11T17:14:26"/>
    <x v="35"/>
    <x v="2"/>
    <x v="1"/>
  </r>
  <r>
    <x v="2"/>
    <x v="2"/>
    <x v="33"/>
    <d v="2025-11-12T00:00:00"/>
    <x v="35"/>
    <n v="776624932"/>
    <x v="47"/>
    <d v="2025-12-11T17:14:26"/>
    <x v="35"/>
    <x v="2"/>
    <x v="1"/>
  </r>
  <r>
    <x v="1"/>
    <x v="1"/>
    <x v="34"/>
    <d v="2025-11-11T00:00:00"/>
    <x v="36"/>
    <n v="966944143"/>
    <x v="48"/>
    <d v="2025-12-11T17:14:26"/>
    <x v="36"/>
    <x v="2"/>
    <x v="1"/>
  </r>
  <r>
    <x v="1"/>
    <x v="1"/>
    <x v="35"/>
    <d v="2025-11-11T00:00:00"/>
    <x v="36"/>
    <n v="773953416"/>
    <x v="49"/>
    <d v="2025-12-11T17:14:26"/>
    <x v="36"/>
    <x v="2"/>
    <x v="1"/>
  </r>
  <r>
    <x v="1"/>
    <x v="1"/>
    <x v="36"/>
    <d v="2025-11-10T00:00:00"/>
    <x v="37"/>
    <s v="097 5266395"/>
    <x v="50"/>
    <d v="2025-12-11T17:14:26"/>
    <x v="37"/>
    <x v="0"/>
    <x v="1"/>
  </r>
  <r>
    <x v="5"/>
    <x v="5"/>
    <x v="37"/>
    <d v="2025-11-02T00:00:00"/>
    <x v="38"/>
    <s v="097 4263564"/>
    <x v="51"/>
    <d v="2025-12-11T17:14:26"/>
    <x v="38"/>
    <x v="2"/>
    <x v="1"/>
  </r>
  <r>
    <x v="1"/>
    <x v="1"/>
    <x v="38"/>
    <d v="2025-11-01T00:00:00"/>
    <x v="39"/>
    <s v="097 6548803"/>
    <x v="52"/>
    <d v="2025-12-11T17:14:26"/>
    <x v="39"/>
    <x v="0"/>
    <x v="1"/>
  </r>
  <r>
    <x v="4"/>
    <x v="4"/>
    <x v="39"/>
    <d v="2025-11-01T00:00:00"/>
    <x v="39"/>
    <n v="765655022"/>
    <x v="53"/>
    <d v="2025-12-11T17:14:26"/>
    <x v="39"/>
    <x v="0"/>
    <x v="1"/>
  </r>
  <r>
    <x v="6"/>
    <x v="6"/>
    <x v="40"/>
    <d v="2025-10-30T00:00:00"/>
    <x v="40"/>
    <n v="772320420"/>
    <x v="54"/>
    <d v="2025-12-11T17:14:26"/>
    <x v="40"/>
    <x v="2"/>
    <x v="2"/>
  </r>
  <r>
    <x v="0"/>
    <x v="1"/>
    <x v="41"/>
    <d v="2025-10-28T00:00:00"/>
    <x v="5"/>
    <n v="760630696"/>
    <x v="55"/>
    <d v="2025-12-11T17:14:26"/>
    <x v="5"/>
    <x v="0"/>
    <x v="2"/>
  </r>
  <r>
    <x v="0"/>
    <x v="1"/>
    <x v="42"/>
    <d v="2025-10-28T00:00:00"/>
    <x v="5"/>
    <s v="097 3645518"/>
    <x v="56"/>
    <d v="2025-12-11T17:14:26"/>
    <x v="5"/>
    <x v="0"/>
    <x v="2"/>
  </r>
  <r>
    <x v="6"/>
    <x v="6"/>
    <x v="43"/>
    <d v="2025-10-27T00:00:00"/>
    <x v="41"/>
    <n v="768649316"/>
    <x v="57"/>
    <d v="2025-12-11T17:14:26"/>
    <x v="41"/>
    <x v="2"/>
    <x v="2"/>
  </r>
  <r>
    <x v="1"/>
    <x v="7"/>
    <x v="44"/>
    <d v="2025-10-26T00:00:00"/>
    <x v="12"/>
    <n v="761351171"/>
    <x v="58"/>
    <d v="2025-12-11T17:14:26"/>
    <x v="12"/>
    <x v="0"/>
    <x v="2"/>
  </r>
  <r>
    <x v="0"/>
    <x v="1"/>
    <x v="8"/>
    <d v="2025-10-26T00:00:00"/>
    <x v="12"/>
    <s v="0 97 4864024"/>
    <x v="59"/>
    <d v="2025-12-11T17:14:26"/>
    <x v="12"/>
    <x v="0"/>
    <x v="2"/>
  </r>
  <r>
    <x v="1"/>
    <x v="7"/>
    <x v="44"/>
    <d v="2025-10-26T00:00:00"/>
    <x v="12"/>
    <s v="097 3039701"/>
    <x v="60"/>
    <d v="2025-12-11T17:14:26"/>
    <x v="12"/>
    <x v="0"/>
    <x v="2"/>
  </r>
  <r>
    <x v="0"/>
    <x v="1"/>
    <x v="34"/>
    <d v="2025-10-26T00:00:00"/>
    <x v="12"/>
    <n v="260776125120"/>
    <x v="61"/>
    <d v="2025-12-11T17:14:26"/>
    <x v="12"/>
    <x v="0"/>
    <x v="2"/>
  </r>
  <r>
    <x v="1"/>
    <x v="7"/>
    <x v="45"/>
    <d v="2025-10-26T00:00:00"/>
    <x v="12"/>
    <n v="974572669"/>
    <x v="62"/>
    <d v="2025-12-11T17:14:26"/>
    <x v="12"/>
    <x v="0"/>
    <x v="2"/>
  </r>
  <r>
    <x v="0"/>
    <x v="1"/>
    <x v="8"/>
    <d v="2025-10-25T00:00:00"/>
    <x v="42"/>
    <n v="760630696"/>
    <x v="55"/>
    <d v="2025-12-11T17:14:26"/>
    <x v="42"/>
    <x v="0"/>
    <x v="2"/>
  </r>
  <r>
    <x v="1"/>
    <x v="7"/>
    <x v="46"/>
    <d v="2025-10-25T00:00:00"/>
    <x v="42"/>
    <n v="761234732"/>
    <x v="63"/>
    <d v="2025-12-11T17:14:26"/>
    <x v="42"/>
    <x v="0"/>
    <x v="2"/>
  </r>
  <r>
    <x v="7"/>
    <x v="8"/>
    <x v="8"/>
    <d v="2025-10-25T00:00:00"/>
    <x v="42"/>
    <s v="097 7473902"/>
    <x v="64"/>
    <d v="2025-12-11T17:14:26"/>
    <x v="42"/>
    <x v="0"/>
    <x v="2"/>
  </r>
  <r>
    <x v="2"/>
    <x v="9"/>
    <x v="47"/>
    <d v="2025-10-24T00:00:00"/>
    <x v="15"/>
    <n v="768460106"/>
    <x v="65"/>
    <d v="2025-12-11T17:14:26"/>
    <x v="15"/>
    <x v="2"/>
    <x v="2"/>
  </r>
  <r>
    <x v="1"/>
    <x v="7"/>
    <x v="48"/>
    <d v="2025-10-24T00:00:00"/>
    <x v="43"/>
    <n v="770483704"/>
    <x v="66"/>
    <d v="2025-12-11T17:14:26"/>
    <x v="43"/>
    <x v="0"/>
    <x v="2"/>
  </r>
  <r>
    <x v="1"/>
    <x v="7"/>
    <x v="8"/>
    <d v="2025-10-24T00:00:00"/>
    <x v="43"/>
    <n v="969291260"/>
    <x v="67"/>
    <d v="2025-12-11T17:14:26"/>
    <x v="43"/>
    <x v="0"/>
    <x v="2"/>
  </r>
  <r>
    <x v="1"/>
    <x v="7"/>
    <x v="48"/>
    <d v="2025-10-24T00:00:00"/>
    <x v="43"/>
    <s v="263 78 021 2566"/>
    <x v="68"/>
    <d v="2025-12-11T17:14:26"/>
    <x v="43"/>
    <x v="0"/>
    <x v="2"/>
  </r>
  <r>
    <x v="1"/>
    <x v="7"/>
    <x v="48"/>
    <d v="2025-10-24T00:00:00"/>
    <x v="43"/>
    <s v="0 96 4146591"/>
    <x v="69"/>
    <d v="2025-12-11T17:14:26"/>
    <x v="43"/>
    <x v="0"/>
    <x v="2"/>
  </r>
  <r>
    <x v="0"/>
    <x v="1"/>
    <x v="49"/>
    <d v="2025-10-24T00:00:00"/>
    <x v="43"/>
    <n v="779212100"/>
    <x v="70"/>
    <d v="2025-12-11T17:14:26"/>
    <x v="43"/>
    <x v="0"/>
    <x v="2"/>
  </r>
  <r>
    <x v="1"/>
    <x v="7"/>
    <x v="20"/>
    <d v="2025-10-24T00:00:00"/>
    <x v="43"/>
    <n v="779692903"/>
    <x v="71"/>
    <d v="2025-12-11T17:14:26"/>
    <x v="43"/>
    <x v="0"/>
    <x v="2"/>
  </r>
  <r>
    <x v="1"/>
    <x v="7"/>
    <x v="50"/>
    <d v="2025-10-24T00:00:00"/>
    <x v="43"/>
    <n v="60768619582"/>
    <x v="72"/>
    <d v="2025-12-11T17:14:26"/>
    <x v="43"/>
    <x v="0"/>
    <x v="2"/>
  </r>
  <r>
    <x v="1"/>
    <x v="7"/>
    <x v="48"/>
    <d v="2025-10-24T00:00:00"/>
    <x v="43"/>
    <s v="0 96 7150124"/>
    <x v="73"/>
    <d v="2025-12-11T17:14:26"/>
    <x v="43"/>
    <x v="0"/>
    <x v="2"/>
  </r>
  <r>
    <x v="6"/>
    <x v="6"/>
    <x v="51"/>
    <d v="2025-10-24T00:00:00"/>
    <x v="43"/>
    <n v="761365474"/>
    <x v="74"/>
    <d v="2025-12-11T17:14:26"/>
    <x v="43"/>
    <x v="0"/>
    <x v="2"/>
  </r>
  <r>
    <x v="0"/>
    <x v="1"/>
    <x v="38"/>
    <d v="2025-10-24T00:00:00"/>
    <x v="44"/>
    <s v="096 6333114"/>
    <x v="75"/>
    <d v="2025-12-11T17:14:26"/>
    <x v="44"/>
    <x v="1"/>
    <x v="2"/>
  </r>
  <r>
    <x v="0"/>
    <x v="1"/>
    <x v="52"/>
    <d v="2025-10-22T00:00:00"/>
    <x v="45"/>
    <s v="260 97 2947983"/>
    <x v="76"/>
    <d v="2025-12-11T17:14:26"/>
    <x v="45"/>
    <x v="0"/>
    <x v="2"/>
  </r>
  <r>
    <x v="4"/>
    <x v="10"/>
    <x v="53"/>
    <d v="2025-10-21T00:00:00"/>
    <x v="46"/>
    <n v="774683105"/>
    <x v="77"/>
    <d v="2025-12-11T17:14:26"/>
    <x v="46"/>
    <x v="2"/>
    <x v="2"/>
  </r>
  <r>
    <x v="0"/>
    <x v="1"/>
    <x v="54"/>
    <d v="2025-10-21T00:00:00"/>
    <x v="47"/>
    <n v="260776943008"/>
    <x v="78"/>
    <d v="2025-12-11T17:14:26"/>
    <x v="47"/>
    <x v="1"/>
    <x v="2"/>
  </r>
  <r>
    <x v="0"/>
    <x v="1"/>
    <x v="31"/>
    <d v="2025-10-18T00:00:00"/>
    <x v="48"/>
    <s v="097 4710399"/>
    <x v="79"/>
    <d v="2025-12-11T17:14:26"/>
    <x v="48"/>
    <x v="2"/>
    <x v="2"/>
  </r>
  <r>
    <x v="2"/>
    <x v="9"/>
    <x v="55"/>
    <d v="2025-10-17T00:00:00"/>
    <x v="24"/>
    <n v="260777702700"/>
    <x v="80"/>
    <d v="2025-12-11T17:14:26"/>
    <x v="24"/>
    <x v="2"/>
    <x v="2"/>
  </r>
  <r>
    <x v="7"/>
    <x v="8"/>
    <x v="39"/>
    <d v="2025-10-17T00:00:00"/>
    <x v="24"/>
    <s v="0 97 3145230"/>
    <x v="81"/>
    <d v="2025-12-11T17:14:26"/>
    <x v="24"/>
    <x v="2"/>
    <x v="2"/>
  </r>
  <r>
    <x v="4"/>
    <x v="10"/>
    <x v="56"/>
    <d v="2025-10-14T00:00:00"/>
    <x v="49"/>
    <s v="097 1752609"/>
    <x v="82"/>
    <d v="2025-12-11T17:14:26"/>
    <x v="49"/>
    <x v="2"/>
    <x v="2"/>
  </r>
  <r>
    <x v="4"/>
    <x v="10"/>
    <x v="57"/>
    <d v="2025-10-14T00:00:00"/>
    <x v="49"/>
    <n v="777535332"/>
    <x v="83"/>
    <d v="2025-12-11T17:14:26"/>
    <x v="49"/>
    <x v="2"/>
    <x v="2"/>
  </r>
  <r>
    <x v="0"/>
    <x v="1"/>
    <x v="58"/>
    <d v="2025-10-14T00:00:00"/>
    <x v="31"/>
    <s v="097 5274087"/>
    <x v="84"/>
    <d v="2025-12-11T17:14:26"/>
    <x v="31"/>
    <x v="2"/>
    <x v="2"/>
  </r>
  <r>
    <x v="1"/>
    <x v="7"/>
    <x v="59"/>
    <d v="2025-10-13T00:00:00"/>
    <x v="50"/>
    <n v="774654611"/>
    <x v="85"/>
    <d v="2025-12-11T17:14:26"/>
    <x v="50"/>
    <x v="3"/>
    <x v="2"/>
  </r>
  <r>
    <x v="2"/>
    <x v="9"/>
    <x v="36"/>
    <d v="2025-10-11T00:00:00"/>
    <x v="36"/>
    <s v="096 8748875"/>
    <x v="86"/>
    <d v="2025-12-11T17:14:26"/>
    <x v="36"/>
    <x v="2"/>
    <x v="2"/>
  </r>
  <r>
    <x v="2"/>
    <x v="9"/>
    <x v="29"/>
    <d v="2025-10-10T00:00:00"/>
    <x v="37"/>
    <n v="260770887128"/>
    <x v="87"/>
    <d v="2025-12-11T17:14:26"/>
    <x v="37"/>
    <x v="0"/>
    <x v="2"/>
  </r>
  <r>
    <x v="4"/>
    <x v="10"/>
    <x v="51"/>
    <d v="2025-10-09T00:00:00"/>
    <x v="51"/>
    <n v="260776071847"/>
    <x v="88"/>
    <d v="2025-12-11T17:14:26"/>
    <x v="51"/>
    <x v="2"/>
    <x v="2"/>
  </r>
  <r>
    <x v="2"/>
    <x v="9"/>
    <x v="29"/>
    <d v="2025-10-09T00:00:00"/>
    <x v="52"/>
    <n v="260770887128"/>
    <x v="89"/>
    <d v="2025-12-11T17:14:26"/>
    <x v="52"/>
    <x v="0"/>
    <x v="2"/>
  </r>
  <r>
    <x v="7"/>
    <x v="8"/>
    <x v="8"/>
    <d v="2025-10-09T00:00:00"/>
    <x v="53"/>
    <s v="243 975 577 009"/>
    <x v="90"/>
    <d v="2025-12-11T17:14:26"/>
    <x v="53"/>
    <x v="1"/>
    <x v="2"/>
  </r>
  <r>
    <x v="0"/>
    <x v="1"/>
    <x v="5"/>
    <d v="2025-10-06T00:00:00"/>
    <x v="1"/>
    <s v="260 97 8682070"/>
    <x v="72"/>
    <d v="2025-12-11T17:14:26"/>
    <x v="1"/>
    <x v="1"/>
    <x v="2"/>
  </r>
  <r>
    <x v="2"/>
    <x v="9"/>
    <x v="14"/>
    <d v="2025-10-05T00:00:00"/>
    <x v="54"/>
    <s v="60 97 1707111"/>
    <x v="91"/>
    <d v="2025-12-11T17:14:26"/>
    <x v="54"/>
    <x v="0"/>
    <x v="2"/>
  </r>
  <r>
    <x v="1"/>
    <x v="7"/>
    <x v="38"/>
    <d v="2025-10-03T00:00:00"/>
    <x v="55"/>
    <s v="260 97 7283502"/>
    <x v="92"/>
    <d v="2025-12-11T17:14:26"/>
    <x v="55"/>
    <x v="2"/>
    <x v="2"/>
  </r>
  <r>
    <x v="4"/>
    <x v="10"/>
    <x v="54"/>
    <d v="2025-10-03T00:00:00"/>
    <x v="56"/>
    <n v="60767759812"/>
    <x v="93"/>
    <d v="2025-12-11T17:14:26"/>
    <x v="56"/>
    <x v="2"/>
    <x v="2"/>
  </r>
  <r>
    <x v="2"/>
    <x v="9"/>
    <x v="60"/>
    <d v="2025-10-03T00:00:00"/>
    <x v="57"/>
    <s v="097 6554917"/>
    <x v="94"/>
    <d v="2025-12-11T17:14:26"/>
    <x v="57"/>
    <x v="0"/>
    <x v="2"/>
  </r>
  <r>
    <x v="7"/>
    <x v="8"/>
    <x v="61"/>
    <d v="2025-10-01T00:00:00"/>
    <x v="39"/>
    <n v="260570241458"/>
    <x v="95"/>
    <d v="2025-12-11T17:14:26"/>
    <x v="39"/>
    <x v="0"/>
    <x v="2"/>
  </r>
  <r>
    <x v="0"/>
    <x v="1"/>
    <x v="62"/>
    <d v="2025-09-27T00:00:00"/>
    <x v="11"/>
    <s v="260 96 5733144"/>
    <x v="96"/>
    <d v="2025-12-11T17:14:26"/>
    <x v="11"/>
    <x v="0"/>
    <x v="3"/>
  </r>
  <r>
    <x v="3"/>
    <x v="11"/>
    <x v="63"/>
    <d v="2025-09-26T00:00:00"/>
    <x v="58"/>
    <s v="097 7623548"/>
    <x v="97"/>
    <d v="2025-12-11T17:14:26"/>
    <x v="58"/>
    <x v="2"/>
    <x v="3"/>
  </r>
  <r>
    <x v="4"/>
    <x v="10"/>
    <x v="63"/>
    <d v="2025-09-26T00:00:00"/>
    <x v="59"/>
    <n v="260763110774"/>
    <x v="98"/>
    <d v="2025-12-11T17:14:26"/>
    <x v="59"/>
    <x v="2"/>
    <x v="3"/>
  </r>
  <r>
    <x v="2"/>
    <x v="9"/>
    <x v="38"/>
    <d v="2025-09-26T00:00:00"/>
    <x v="12"/>
    <n v="761090139"/>
    <x v="99"/>
    <d v="2025-12-11T17:14:26"/>
    <x v="12"/>
    <x v="0"/>
    <x v="3"/>
  </r>
  <r>
    <x v="0"/>
    <x v="1"/>
    <x v="63"/>
    <d v="2025-09-26T00:00:00"/>
    <x v="12"/>
    <n v="764986106"/>
    <x v="100"/>
    <d v="2025-12-11T17:14:26"/>
    <x v="12"/>
    <x v="0"/>
    <x v="3"/>
  </r>
  <r>
    <x v="1"/>
    <x v="7"/>
    <x v="64"/>
    <d v="2025-09-26T00:00:00"/>
    <x v="12"/>
    <s v="097 3699534"/>
    <x v="101"/>
    <d v="2025-12-11T17:14:26"/>
    <x v="12"/>
    <x v="0"/>
    <x v="3"/>
  </r>
  <r>
    <x v="4"/>
    <x v="10"/>
    <x v="35"/>
    <d v="2025-09-23T00:00:00"/>
    <x v="16"/>
    <s v="097 3141610"/>
    <x v="102"/>
    <d v="2025-12-11T17:14:26"/>
    <x v="16"/>
    <x v="2"/>
    <x v="3"/>
  </r>
  <r>
    <x v="4"/>
    <x v="10"/>
    <x v="65"/>
    <d v="2025-09-19T00:00:00"/>
    <x v="60"/>
    <s v="097 5147031"/>
    <x v="103"/>
    <d v="2025-12-11T17:14:26"/>
    <x v="60"/>
    <x v="2"/>
    <x v="3"/>
  </r>
  <r>
    <x v="1"/>
    <x v="7"/>
    <x v="66"/>
    <d v="2025-09-18T00:00:00"/>
    <x v="61"/>
    <s v="096 5971191"/>
    <x v="104"/>
    <d v="2025-12-11T17:14:26"/>
    <x v="61"/>
    <x v="2"/>
    <x v="3"/>
  </r>
  <r>
    <x v="1"/>
    <x v="7"/>
    <x v="6"/>
    <d v="2025-09-15T00:00:00"/>
    <x v="29"/>
    <n v="774463088"/>
    <x v="105"/>
    <d v="2025-12-11T17:14:26"/>
    <x v="29"/>
    <x v="3"/>
    <x v="3"/>
  </r>
  <r>
    <x v="4"/>
    <x v="10"/>
    <x v="66"/>
    <d v="2025-09-14T00:00:00"/>
    <x v="30"/>
    <s v="7 902 614-72-26"/>
    <x v="106"/>
    <d v="2025-12-11T17:14:26"/>
    <x v="30"/>
    <x v="2"/>
    <x v="3"/>
  </r>
  <r>
    <x v="2"/>
    <x v="9"/>
    <x v="67"/>
    <d v="2025-09-13T00:00:00"/>
    <x v="50"/>
    <n v="779468957"/>
    <x v="107"/>
    <d v="2025-12-11T17:14:26"/>
    <x v="50"/>
    <x v="3"/>
    <x v="3"/>
  </r>
  <r>
    <x v="4"/>
    <x v="10"/>
    <x v="35"/>
    <d v="2025-09-12T00:00:00"/>
    <x v="62"/>
    <s v="097 9211634"/>
    <x v="108"/>
    <d v="2025-12-11T17:14:26"/>
    <x v="62"/>
    <x v="2"/>
    <x v="3"/>
  </r>
  <r>
    <x v="4"/>
    <x v="10"/>
    <x v="8"/>
    <d v="2025-09-10T00:00:00"/>
    <x v="63"/>
    <n v="260777137157"/>
    <x v="109"/>
    <d v="2025-12-11T17:14:26"/>
    <x v="63"/>
    <x v="2"/>
    <x v="3"/>
  </r>
  <r>
    <x v="4"/>
    <x v="10"/>
    <x v="7"/>
    <d v="2025-09-09T00:00:00"/>
    <x v="64"/>
    <s v="097 8602821"/>
    <x v="110"/>
    <d v="2025-12-11T17:14:26"/>
    <x v="64"/>
    <x v="2"/>
    <x v="3"/>
  </r>
  <r>
    <x v="4"/>
    <x v="10"/>
    <x v="54"/>
    <d v="2025-09-07T00:00:00"/>
    <x v="65"/>
    <n v="763097214"/>
    <x v="111"/>
    <d v="2025-12-11T17:14:26"/>
    <x v="65"/>
    <x v="2"/>
    <x v="3"/>
  </r>
  <r>
    <x v="0"/>
    <x v="1"/>
    <x v="68"/>
    <d v="2025-09-04T00:00:00"/>
    <x v="2"/>
    <n v="768914067"/>
    <x v="112"/>
    <d v="2025-12-11T17:14:26"/>
    <x v="2"/>
    <x v="0"/>
    <x v="3"/>
  </r>
  <r>
    <x v="0"/>
    <x v="1"/>
    <x v="69"/>
    <d v="2025-09-04T00:00:00"/>
    <x v="66"/>
    <s v="097 3972610"/>
    <x v="113"/>
    <d v="2025-12-11T17:14:26"/>
    <x v="66"/>
    <x v="1"/>
    <x v="3"/>
  </r>
  <r>
    <x v="5"/>
    <x v="12"/>
    <x v="70"/>
    <d v="2025-09-01T00:00:00"/>
    <x v="25"/>
    <n v="976833141"/>
    <x v="114"/>
    <d v="2025-12-11T17:14:26"/>
    <x v="25"/>
    <x v="3"/>
    <x v="3"/>
  </r>
  <r>
    <x v="2"/>
    <x v="9"/>
    <x v="39"/>
    <d v="2025-09-01T00:00:00"/>
    <x v="67"/>
    <n v="765193794"/>
    <x v="115"/>
    <d v="2025-12-11T17:14:26"/>
    <x v="67"/>
    <x v="1"/>
    <x v="3"/>
  </r>
  <r>
    <x v="7"/>
    <x v="8"/>
    <x v="71"/>
    <d v="2025-08-31T00:00:00"/>
    <x v="8"/>
    <s v="097 0383004"/>
    <x v="116"/>
    <d v="2025-12-11T17:14:26"/>
    <x v="8"/>
    <x v="2"/>
    <x v="4"/>
  </r>
  <r>
    <x v="0"/>
    <x v="1"/>
    <x v="72"/>
    <d v="2025-08-29T00:00:00"/>
    <x v="25"/>
    <n v="774116261"/>
    <x v="117"/>
    <d v="2025-12-11T17:14:26"/>
    <x v="25"/>
    <x v="3"/>
    <x v="4"/>
  </r>
  <r>
    <x v="4"/>
    <x v="10"/>
    <x v="72"/>
    <d v="2025-08-27T00:00:00"/>
    <x v="68"/>
    <n v="770480827"/>
    <x v="118"/>
    <d v="2025-12-11T17:14:26"/>
    <x v="68"/>
    <x v="2"/>
    <x v="4"/>
  </r>
  <r>
    <x v="4"/>
    <x v="10"/>
    <x v="73"/>
    <d v="2025-08-27T00:00:00"/>
    <x v="68"/>
    <s v="97 8439465"/>
    <x v="119"/>
    <d v="2025-12-11T17:14:26"/>
    <x v="68"/>
    <x v="2"/>
    <x v="4"/>
  </r>
  <r>
    <x v="2"/>
    <x v="9"/>
    <x v="74"/>
    <d v="2025-08-26T00:00:00"/>
    <x v="69"/>
    <n v="961194409"/>
    <x v="120"/>
    <d v="2025-12-11T17:14:26"/>
    <x v="69"/>
    <x v="2"/>
    <x v="4"/>
  </r>
  <r>
    <x v="4"/>
    <x v="10"/>
    <x v="54"/>
    <d v="2025-08-25T00:00:00"/>
    <x v="70"/>
    <n v="770480827"/>
    <x v="121"/>
    <d v="2025-12-11T17:14:26"/>
    <x v="70"/>
    <x v="2"/>
    <x v="4"/>
  </r>
  <r>
    <x v="4"/>
    <x v="10"/>
    <x v="72"/>
    <d v="2025-08-25T00:00:00"/>
    <x v="70"/>
    <s v="097 3300618"/>
    <x v="122"/>
    <d v="2025-12-11T17:14:26"/>
    <x v="70"/>
    <x v="2"/>
    <x v="4"/>
  </r>
  <r>
    <x v="0"/>
    <x v="1"/>
    <x v="38"/>
    <d v="2025-08-25T00:00:00"/>
    <x v="42"/>
    <s v="097 9465918"/>
    <x v="123"/>
    <d v="2025-12-11T17:14:26"/>
    <x v="42"/>
    <x v="0"/>
    <x v="4"/>
  </r>
  <r>
    <x v="4"/>
    <x v="10"/>
    <x v="75"/>
    <d v="2025-08-23T00:00:00"/>
    <x v="17"/>
    <s v="097 3575320"/>
    <x v="124"/>
    <d v="2025-12-11T17:14:26"/>
    <x v="17"/>
    <x v="2"/>
    <x v="4"/>
  </r>
  <r>
    <x v="0"/>
    <x v="1"/>
    <x v="76"/>
    <d v="2025-08-22T00:00:00"/>
    <x v="71"/>
    <n v="978902466"/>
    <x v="125"/>
    <d v="2025-12-11T17:14:26"/>
    <x v="71"/>
    <x v="2"/>
    <x v="4"/>
  </r>
  <r>
    <x v="4"/>
    <x v="10"/>
    <x v="8"/>
    <d v="2025-08-22T00:00:00"/>
    <x v="72"/>
    <s v="097 1727318"/>
    <x v="126"/>
    <d v="2025-12-11T17:14:26"/>
    <x v="72"/>
    <x v="2"/>
    <x v="4"/>
  </r>
  <r>
    <x v="2"/>
    <x v="9"/>
    <x v="49"/>
    <d v="2025-08-19T00:00:00"/>
    <x v="73"/>
    <s v="097 4569519"/>
    <x v="127"/>
    <d v="2025-12-11T17:14:26"/>
    <x v="73"/>
    <x v="1"/>
    <x v="4"/>
  </r>
  <r>
    <x v="6"/>
    <x v="6"/>
    <x v="77"/>
    <d v="2025-08-17T00:00:00"/>
    <x v="23"/>
    <n v="979400255"/>
    <x v="128"/>
    <d v="2025-12-11T17:14:26"/>
    <x v="23"/>
    <x v="2"/>
    <x v="4"/>
  </r>
  <r>
    <x v="4"/>
    <x v="10"/>
    <x v="8"/>
    <d v="2025-08-13T00:00:00"/>
    <x v="74"/>
    <n v="772439721"/>
    <x v="129"/>
    <d v="2025-12-11T17:14:26"/>
    <x v="74"/>
    <x v="2"/>
    <x v="4"/>
  </r>
  <r>
    <x v="7"/>
    <x v="8"/>
    <x v="8"/>
    <d v="2025-08-13T00:00:00"/>
    <x v="33"/>
    <s v="097 1491456"/>
    <x v="130"/>
    <d v="2025-12-11T17:14:26"/>
    <x v="33"/>
    <x v="2"/>
    <x v="4"/>
  </r>
  <r>
    <x v="0"/>
    <x v="1"/>
    <x v="5"/>
    <d v="2025-08-10T00:00:00"/>
    <x v="75"/>
    <n v="779466625"/>
    <x v="131"/>
    <d v="2025-12-11T17:14:26"/>
    <x v="75"/>
    <x v="1"/>
    <x v="4"/>
  </r>
  <r>
    <x v="3"/>
    <x v="11"/>
    <x v="8"/>
    <d v="2025-08-08T00:00:00"/>
    <x v="76"/>
    <n v="765924713"/>
    <x v="132"/>
    <d v="2025-12-11T17:14:26"/>
    <x v="76"/>
    <x v="2"/>
    <x v="4"/>
  </r>
  <r>
    <x v="0"/>
    <x v="1"/>
    <x v="69"/>
    <d v="2025-08-08T00:00:00"/>
    <x v="77"/>
    <s v="97 3653951"/>
    <x v="133"/>
    <d v="2025-12-11T17:14:26"/>
    <x v="77"/>
    <x v="0"/>
    <x v="4"/>
  </r>
  <r>
    <x v="4"/>
    <x v="10"/>
    <x v="8"/>
    <d v="2025-08-08T00:00:00"/>
    <x v="77"/>
    <s v="097 3788729"/>
    <x v="134"/>
    <d v="2025-12-11T17:14:26"/>
    <x v="77"/>
    <x v="0"/>
    <x v="4"/>
  </r>
  <r>
    <x v="1"/>
    <x v="7"/>
    <x v="67"/>
    <d v="2025-08-07T00:00:00"/>
    <x v="78"/>
    <s v="096 0779614"/>
    <x v="135"/>
    <d v="2025-12-11T17:14:26"/>
    <x v="78"/>
    <x v="0"/>
    <x v="4"/>
  </r>
  <r>
    <x v="7"/>
    <x v="8"/>
    <x v="8"/>
    <d v="2025-08-05T00:00:00"/>
    <x v="79"/>
    <s v="097 7518122"/>
    <x v="136"/>
    <d v="2025-12-11T17:14:26"/>
    <x v="79"/>
    <x v="2"/>
    <x v="4"/>
  </r>
  <r>
    <x v="1"/>
    <x v="7"/>
    <x v="70"/>
    <d v="2025-08-02T00:00:00"/>
    <x v="80"/>
    <n v="260779201901"/>
    <x v="137"/>
    <d v="2025-12-11T17:14:26"/>
    <x v="80"/>
    <x v="1"/>
    <x v="4"/>
  </r>
  <r>
    <x v="1"/>
    <x v="7"/>
    <x v="19"/>
    <d v="2025-08-01T00:00:00"/>
    <x v="81"/>
    <s v="097 5354715"/>
    <x v="138"/>
    <d v="2025-12-11T17:14:26"/>
    <x v="81"/>
    <x v="1"/>
    <x v="4"/>
  </r>
  <r>
    <x v="1"/>
    <x v="7"/>
    <x v="78"/>
    <d v="2025-08-01T00:00:00"/>
    <x v="67"/>
    <s v="097 0383004"/>
    <x v="139"/>
    <d v="2025-12-11T17:14:26"/>
    <x v="67"/>
    <x v="1"/>
    <x v="4"/>
  </r>
  <r>
    <x v="1"/>
    <x v="7"/>
    <x v="79"/>
    <d v="2025-07-30T00:00:00"/>
    <x v="82"/>
    <n v="772717320"/>
    <x v="140"/>
    <d v="2025-12-11T17:14:26"/>
    <x v="82"/>
    <x v="0"/>
    <x v="5"/>
  </r>
  <r>
    <x v="1"/>
    <x v="7"/>
    <x v="52"/>
    <d v="2025-07-29T00:00:00"/>
    <x v="83"/>
    <n v="772867085"/>
    <x v="141"/>
    <d v="2025-12-11T17:14:26"/>
    <x v="83"/>
    <x v="1"/>
    <x v="5"/>
  </r>
  <r>
    <x v="1"/>
    <x v="7"/>
    <x v="9"/>
    <d v="2025-07-28T00:00:00"/>
    <x v="5"/>
    <s v="097 8346033"/>
    <x v="142"/>
    <d v="2025-12-11T17:14:26"/>
    <x v="5"/>
    <x v="0"/>
    <x v="5"/>
  </r>
  <r>
    <x v="1"/>
    <x v="7"/>
    <x v="67"/>
    <d v="2025-07-27T00:00:00"/>
    <x v="84"/>
    <s v="097 9616999"/>
    <x v="143"/>
    <d v="2025-12-11T17:14:26"/>
    <x v="84"/>
    <x v="1"/>
    <x v="5"/>
  </r>
  <r>
    <x v="2"/>
    <x v="9"/>
    <x v="52"/>
    <d v="2025-07-25T00:00:00"/>
    <x v="85"/>
    <n v="761351171"/>
    <x v="58"/>
    <d v="2025-12-11T17:14:26"/>
    <x v="85"/>
    <x v="1"/>
    <x v="5"/>
  </r>
  <r>
    <x v="1"/>
    <x v="7"/>
    <x v="52"/>
    <d v="2025-07-24T00:00:00"/>
    <x v="86"/>
    <s v="097 7503605"/>
    <x v="144"/>
    <d v="2025-12-11T17:14:26"/>
    <x v="86"/>
    <x v="1"/>
    <x v="5"/>
  </r>
  <r>
    <x v="0"/>
    <x v="1"/>
    <x v="52"/>
    <d v="2025-07-22T00:00:00"/>
    <x v="87"/>
    <n v="770208461"/>
    <x v="145"/>
    <d v="2025-12-11T17:14:26"/>
    <x v="87"/>
    <x v="1"/>
    <x v="5"/>
  </r>
  <r>
    <x v="2"/>
    <x v="9"/>
    <x v="56"/>
    <d v="2025-07-21T00:00:00"/>
    <x v="21"/>
    <n v="770480241"/>
    <x v="146"/>
    <d v="2025-12-11T17:14:26"/>
    <x v="21"/>
    <x v="0"/>
    <x v="5"/>
  </r>
  <r>
    <x v="3"/>
    <x v="11"/>
    <x v="80"/>
    <d v="2025-07-19T00:00:00"/>
    <x v="88"/>
    <s v="097 6818035"/>
    <x v="147"/>
    <d v="2025-12-11T17:14:26"/>
    <x v="88"/>
    <x v="2"/>
    <x v="5"/>
  </r>
  <r>
    <x v="4"/>
    <x v="10"/>
    <x v="81"/>
    <d v="2025-07-15T00:00:00"/>
    <x v="29"/>
    <n v="762096234"/>
    <x v="148"/>
    <d v="2025-12-11T17:14:26"/>
    <x v="29"/>
    <x v="3"/>
    <x v="5"/>
  </r>
  <r>
    <x v="1"/>
    <x v="7"/>
    <x v="81"/>
    <d v="2025-07-14T00:00:00"/>
    <x v="89"/>
    <n v="779480274"/>
    <x v="149"/>
    <d v="2025-12-11T17:14:26"/>
    <x v="89"/>
    <x v="1"/>
    <x v="5"/>
  </r>
  <r>
    <x v="4"/>
    <x v="10"/>
    <x v="82"/>
    <d v="2025-07-12T00:00:00"/>
    <x v="62"/>
    <n v="769541916"/>
    <x v="150"/>
    <d v="2025-12-11T17:14:26"/>
    <x v="62"/>
    <x v="2"/>
    <x v="5"/>
  </r>
  <r>
    <x v="1"/>
    <x v="7"/>
    <x v="83"/>
    <d v="2025-07-12T00:00:00"/>
    <x v="35"/>
    <s v="097 6884088"/>
    <x v="151"/>
    <d v="2025-12-11T17:14:26"/>
    <x v="35"/>
    <x v="2"/>
    <x v="5"/>
  </r>
  <r>
    <x v="4"/>
    <x v="10"/>
    <x v="84"/>
    <d v="2025-07-10T00:00:00"/>
    <x v="37"/>
    <n v="777150033"/>
    <x v="152"/>
    <d v="2025-12-11T17:14:26"/>
    <x v="37"/>
    <x v="0"/>
    <x v="5"/>
  </r>
  <r>
    <x v="1"/>
    <x v="7"/>
    <x v="85"/>
    <d v="2025-07-07T00:00:00"/>
    <x v="90"/>
    <n v="776664112"/>
    <x v="153"/>
    <d v="2025-12-11T17:14:26"/>
    <x v="90"/>
    <x v="1"/>
    <x v="5"/>
  </r>
  <r>
    <x v="1"/>
    <x v="7"/>
    <x v="85"/>
    <d v="2025-07-07T00:00:00"/>
    <x v="90"/>
    <s v="097 9108975"/>
    <x v="154"/>
    <d v="2025-12-11T17:14:26"/>
    <x v="90"/>
    <x v="1"/>
    <x v="5"/>
  </r>
  <r>
    <x v="6"/>
    <x v="6"/>
    <x v="86"/>
    <d v="2025-07-04T00:00:00"/>
    <x v="91"/>
    <s v="097 7498092"/>
    <x v="155"/>
    <d v="2025-12-11T17:14:26"/>
    <x v="91"/>
    <x v="2"/>
    <x v="5"/>
  </r>
  <r>
    <x v="1"/>
    <x v="7"/>
    <x v="87"/>
    <d v="2025-07-03T00:00:00"/>
    <x v="92"/>
    <s v="096 0779691"/>
    <x v="156"/>
    <d v="2025-12-11T17:14:26"/>
    <x v="92"/>
    <x v="2"/>
    <x v="5"/>
  </r>
  <r>
    <x v="7"/>
    <x v="8"/>
    <x v="88"/>
    <d v="2025-07-03T00:00:00"/>
    <x v="93"/>
    <n v="772879943"/>
    <x v="157"/>
    <d v="2025-12-11T17:14:26"/>
    <x v="93"/>
    <x v="1"/>
    <x v="5"/>
  </r>
  <r>
    <x v="7"/>
    <x v="8"/>
    <x v="11"/>
    <d v="2025-06-16T00:00:00"/>
    <x v="94"/>
    <n v="760959888"/>
    <x v="158"/>
    <d v="2025-12-11T17:14:26"/>
    <x v="94"/>
    <x v="2"/>
    <x v="6"/>
  </r>
  <r>
    <x v="2"/>
    <x v="9"/>
    <x v="23"/>
    <d v="2025-06-09T00:00:00"/>
    <x v="53"/>
    <n v="960969762"/>
    <x v="159"/>
    <d v="2025-12-11T17:14:26"/>
    <x v="53"/>
    <x v="1"/>
    <x v="6"/>
  </r>
  <r>
    <x v="1"/>
    <x v="7"/>
    <x v="52"/>
    <d v="2025-06-06T00:00:00"/>
    <x v="0"/>
    <n v="260761539660"/>
    <x v="160"/>
    <d v="2025-12-11T17:14:26"/>
    <x v="0"/>
    <x v="0"/>
    <x v="6"/>
  </r>
  <r>
    <x v="1"/>
    <x v="7"/>
    <x v="89"/>
    <d v="2025-06-03T00:00:00"/>
    <x v="95"/>
    <s v="097 3993052"/>
    <x v="161"/>
    <d v="2025-12-11T17:14:26"/>
    <x v="95"/>
    <x v="1"/>
    <x v="6"/>
  </r>
  <r>
    <x v="1"/>
    <x v="7"/>
    <x v="8"/>
    <d v="2025-05-27T00:00:00"/>
    <x v="96"/>
    <s v="095 1410830"/>
    <x v="162"/>
    <d v="2025-12-11T17:14:26"/>
    <x v="96"/>
    <x v="2"/>
    <x v="7"/>
  </r>
  <r>
    <x v="1"/>
    <x v="7"/>
    <x v="40"/>
    <d v="2025-05-17T00:00:00"/>
    <x v="23"/>
    <s v="097 7734478"/>
    <x v="163"/>
    <d v="2025-12-11T17:14:26"/>
    <x v="23"/>
    <x v="2"/>
    <x v="7"/>
  </r>
  <r>
    <x v="1"/>
    <x v="7"/>
    <x v="90"/>
    <d v="2025-05-03T00:00:00"/>
    <x v="97"/>
    <n v="973641557"/>
    <x v="164"/>
    <d v="2025-12-11T17:14:26"/>
    <x v="97"/>
    <x v="1"/>
    <x v="7"/>
  </r>
  <r>
    <x v="1"/>
    <x v="7"/>
    <x v="45"/>
    <d v="2025-05-02T00:00:00"/>
    <x v="98"/>
    <n v="260767070164"/>
    <x v="165"/>
    <d v="2025-12-11T17:14:26"/>
    <x v="98"/>
    <x v="1"/>
    <x v="7"/>
  </r>
  <r>
    <x v="0"/>
    <x v="1"/>
    <x v="5"/>
    <d v="2025-05-01T00:00:00"/>
    <x v="39"/>
    <n v="260771190649"/>
    <x v="166"/>
    <d v="2025-12-11T17:14:26"/>
    <x v="39"/>
    <x v="0"/>
    <x v="7"/>
  </r>
  <r>
    <x v="0"/>
    <x v="1"/>
    <x v="70"/>
    <d v="2025-04-29T00:00:00"/>
    <x v="99"/>
    <n v="951410830"/>
    <x v="167"/>
    <d v="2025-12-11T17:14:26"/>
    <x v="99"/>
    <x v="4"/>
    <x v="8"/>
  </r>
  <r>
    <x v="0"/>
    <x v="1"/>
    <x v="91"/>
    <d v="2025-04-28T00:00:00"/>
    <x v="100"/>
    <n v="963247349"/>
    <x v="168"/>
    <d v="2025-12-11T17:14:26"/>
    <x v="100"/>
    <x v="1"/>
    <x v="8"/>
  </r>
  <r>
    <x v="0"/>
    <x v="1"/>
    <x v="91"/>
    <d v="2025-04-28T00:00:00"/>
    <x v="101"/>
    <n v="963247349"/>
    <x v="168"/>
    <d v="2025-12-11T17:14:26"/>
    <x v="101"/>
    <x v="1"/>
    <x v="8"/>
  </r>
  <r>
    <x v="1"/>
    <x v="7"/>
    <x v="92"/>
    <d v="2025-04-20T00:00:00"/>
    <x v="102"/>
    <n v="973873023"/>
    <x v="169"/>
    <d v="2025-12-11T17:14:26"/>
    <x v="102"/>
    <x v="2"/>
    <x v="8"/>
  </r>
  <r>
    <x v="0"/>
    <x v="1"/>
    <x v="92"/>
    <d v="2025-04-19T00:00:00"/>
    <x v="103"/>
    <n v="969918957"/>
    <x v="170"/>
    <d v="2025-12-11T17:14:26"/>
    <x v="103"/>
    <x v="2"/>
    <x v="8"/>
  </r>
  <r>
    <x v="1"/>
    <x v="7"/>
    <x v="14"/>
    <d v="2025-04-19T00:00:00"/>
    <x v="60"/>
    <n v="27670121419"/>
    <x v="171"/>
    <d v="2025-12-11T17:14:26"/>
    <x v="60"/>
    <x v="2"/>
    <x v="8"/>
  </r>
  <r>
    <x v="0"/>
    <x v="1"/>
    <x v="93"/>
    <d v="2025-04-19T00:00:00"/>
    <x v="26"/>
    <n v="974000870"/>
    <x v="172"/>
    <d v="2025-12-11T17:14:26"/>
    <x v="26"/>
    <x v="2"/>
    <x v="8"/>
  </r>
  <r>
    <x v="0"/>
    <x v="1"/>
    <x v="76"/>
    <d v="2025-04-18T00:00:00"/>
    <x v="48"/>
    <n v="978902466"/>
    <x v="125"/>
    <d v="2025-12-11T17:14:26"/>
    <x v="48"/>
    <x v="2"/>
    <x v="8"/>
  </r>
  <r>
    <x v="0"/>
    <x v="1"/>
    <x v="94"/>
    <d v="2025-04-14T00:00:00"/>
    <x v="32"/>
    <s v="260 98 1061035"/>
    <x v="173"/>
    <d v="2025-12-11T17:14:26"/>
    <x v="32"/>
    <x v="3"/>
    <x v="8"/>
  </r>
  <r>
    <x v="0"/>
    <x v="1"/>
    <x v="46"/>
    <d v="2025-04-13T00:00:00"/>
    <x v="74"/>
    <n v="979752851"/>
    <x v="174"/>
    <d v="2025-12-11T17:14:26"/>
    <x v="74"/>
    <x v="2"/>
    <x v="8"/>
  </r>
  <r>
    <x v="1"/>
    <x v="7"/>
    <x v="61"/>
    <d v="2025-04-13T00:00:00"/>
    <x v="104"/>
    <n v="772190451"/>
    <x v="175"/>
    <d v="2025-12-11T17:14:26"/>
    <x v="104"/>
    <x v="2"/>
    <x v="8"/>
  </r>
  <r>
    <x v="0"/>
    <x v="1"/>
    <x v="95"/>
    <d v="2025-04-10T00:00:00"/>
    <x v="37"/>
    <n v="961479776"/>
    <x v="176"/>
    <d v="2025-12-11T17:14:26"/>
    <x v="37"/>
    <x v="0"/>
    <x v="8"/>
  </r>
  <r>
    <x v="1"/>
    <x v="7"/>
    <x v="11"/>
    <d v="2025-04-09T00:00:00"/>
    <x v="64"/>
    <n v="766274560"/>
    <x v="177"/>
    <d v="2025-12-11T17:14:26"/>
    <x v="64"/>
    <x v="2"/>
    <x v="8"/>
  </r>
  <r>
    <x v="1"/>
    <x v="7"/>
    <x v="52"/>
    <d v="2025-04-09T00:00:00"/>
    <x v="105"/>
    <s v="‪0967338796‬"/>
    <x v="178"/>
    <d v="2025-12-11T17:14:26"/>
    <x v="105"/>
    <x v="1"/>
    <x v="8"/>
  </r>
  <r>
    <x v="0"/>
    <x v="1"/>
    <x v="79"/>
    <d v="2025-04-08T00:00:00"/>
    <x v="12"/>
    <n v="973433001"/>
    <x v="179"/>
    <d v="2025-12-11T17:14:26"/>
    <x v="12"/>
    <x v="0"/>
    <x v="8"/>
  </r>
  <r>
    <x v="1"/>
    <x v="7"/>
    <x v="56"/>
    <d v="2025-04-08T00:00:00"/>
    <x v="90"/>
    <n v="978471134"/>
    <x v="180"/>
    <d v="2025-12-11T17:14:26"/>
    <x v="90"/>
    <x v="1"/>
    <x v="8"/>
  </r>
  <r>
    <x v="0"/>
    <x v="1"/>
    <x v="56"/>
    <d v="2025-04-07T00:00:00"/>
    <x v="106"/>
    <n v="976688420"/>
    <x v="181"/>
    <d v="2025-12-11T17:14:26"/>
    <x v="106"/>
    <x v="2"/>
    <x v="8"/>
  </r>
  <r>
    <x v="1"/>
    <x v="7"/>
    <x v="69"/>
    <d v="2025-04-04T00:00:00"/>
    <x v="107"/>
    <n v="774245153"/>
    <x v="182"/>
    <d v="2025-12-11T17:14:26"/>
    <x v="107"/>
    <x v="1"/>
    <x v="8"/>
  </r>
  <r>
    <x v="1"/>
    <x v="7"/>
    <x v="68"/>
    <d v="2025-04-02T00:00:00"/>
    <x v="108"/>
    <n v="962014064"/>
    <x v="183"/>
    <d v="2025-12-11T17:14:26"/>
    <x v="108"/>
    <x v="2"/>
    <x v="8"/>
  </r>
  <r>
    <x v="2"/>
    <x v="9"/>
    <x v="74"/>
    <d v="2025-03-29T00:00:00"/>
    <x v="109"/>
    <n v="975443657"/>
    <x v="184"/>
    <d v="2025-12-11T17:14:26"/>
    <x v="109"/>
    <x v="2"/>
    <x v="9"/>
  </r>
  <r>
    <x v="0"/>
    <x v="1"/>
    <x v="27"/>
    <d v="2025-03-21T00:00:00"/>
    <x v="19"/>
    <n v="975500322"/>
    <x v="185"/>
    <d v="2025-12-11T17:14:26"/>
    <x v="19"/>
    <x v="2"/>
    <x v="9"/>
  </r>
  <r>
    <x v="2"/>
    <x v="9"/>
    <x v="92"/>
    <d v="2025-03-20T00:00:00"/>
    <x v="110"/>
    <n v="760880782"/>
    <x v="186"/>
    <d v="2025-12-11T17:14:26"/>
    <x v="110"/>
    <x v="1"/>
    <x v="9"/>
  </r>
  <r>
    <x v="0"/>
    <x v="1"/>
    <x v="96"/>
    <d v="2025-03-14T00:00:00"/>
    <x v="111"/>
    <n v="978829574"/>
    <x v="187"/>
    <d v="2025-12-11T17:14:26"/>
    <x v="111"/>
    <x v="2"/>
    <x v="9"/>
  </r>
  <r>
    <x v="4"/>
    <x v="10"/>
    <x v="18"/>
    <d v="2025-03-06T00:00:00"/>
    <x v="112"/>
    <n v="770969579"/>
    <x v="188"/>
    <d v="2025-12-11T17:14:26"/>
    <x v="112"/>
    <x v="2"/>
    <x v="9"/>
  </r>
  <r>
    <x v="6"/>
    <x v="6"/>
    <x v="30"/>
    <d v="2025-03-05T00:00:00"/>
    <x v="113"/>
    <n v="974562666"/>
    <x v="189"/>
    <d v="2025-12-11T17:14:26"/>
    <x v="113"/>
    <x v="1"/>
    <x v="9"/>
  </r>
  <r>
    <x v="1"/>
    <x v="7"/>
    <x v="69"/>
    <d v="2025-03-04T00:00:00"/>
    <x v="2"/>
    <n v="774245153"/>
    <x v="182"/>
    <d v="2025-12-11T17:14:26"/>
    <x v="2"/>
    <x v="0"/>
    <x v="9"/>
  </r>
  <r>
    <x v="0"/>
    <x v="1"/>
    <x v="69"/>
    <d v="2025-03-04T00:00:00"/>
    <x v="89"/>
    <n v="774245153"/>
    <x v="190"/>
    <d v="2025-12-11T17:14:26"/>
    <x v="89"/>
    <x v="1"/>
    <x v="9"/>
  </r>
  <r>
    <x v="2"/>
    <x v="9"/>
    <x v="67"/>
    <d v="2025-02-28T00:00:00"/>
    <x v="7"/>
    <n v="974364500"/>
    <x v="191"/>
    <d v="2025-12-11T17:14:26"/>
    <x v="7"/>
    <x v="2"/>
    <x v="10"/>
  </r>
  <r>
    <x v="8"/>
    <x v="8"/>
    <x v="8"/>
    <d v="2025-02-23T00:00:00"/>
    <x v="18"/>
    <n v="977523048"/>
    <x v="192"/>
    <d v="2025-12-11T17:14:26"/>
    <x v="18"/>
    <x v="0"/>
    <x v="10"/>
  </r>
  <r>
    <x v="1"/>
    <x v="7"/>
    <x v="14"/>
    <d v="2025-02-19T00:00:00"/>
    <x v="60"/>
    <n v="27670121419"/>
    <x v="171"/>
    <d v="2025-12-11T17:14:26"/>
    <x v="60"/>
    <x v="2"/>
    <x v="10"/>
  </r>
  <r>
    <x v="5"/>
    <x v="12"/>
    <x v="14"/>
    <d v="2025-02-19T00:00:00"/>
    <x v="114"/>
    <n v="972572588"/>
    <x v="193"/>
    <d v="2025-12-11T17:14:26"/>
    <x v="114"/>
    <x v="1"/>
    <x v="10"/>
  </r>
  <r>
    <x v="0"/>
    <x v="1"/>
    <x v="2"/>
    <d v="2025-02-16T00:00:00"/>
    <x v="94"/>
    <n v="972550911"/>
    <x v="194"/>
    <d v="2025-12-11T17:14:26"/>
    <x v="94"/>
    <x v="2"/>
    <x v="10"/>
  </r>
  <r>
    <x v="1"/>
    <x v="7"/>
    <x v="8"/>
    <d v="2024-12-19T00:00:00"/>
    <x v="78"/>
    <n v="970995044"/>
    <x v="195"/>
    <d v="2025-12-11T17:14:26"/>
    <x v="78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CBA20-887D-4FE4-A68A-ED94FD12344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1">
    <pivotField axis="axisRow" showAll="0">
      <items count="10">
        <item x="0"/>
        <item x="1"/>
        <item x="2"/>
        <item x="5"/>
        <item x="6"/>
        <item x="4"/>
        <item x="8"/>
        <item x="3"/>
        <item x="7"/>
        <item t="default"/>
      </items>
    </pivotField>
    <pivotField axis="axisRow" dataField="1" showAll="0">
      <items count="14">
        <item x="0"/>
        <item x="1"/>
        <item x="2"/>
        <item x="7"/>
        <item x="5"/>
        <item x="9"/>
        <item x="4"/>
        <item x="3"/>
        <item x="12"/>
        <item x="6"/>
        <item x="10"/>
        <item x="11"/>
        <item x="8"/>
        <item t="default"/>
      </items>
    </pivotField>
    <pivotField showAll="0">
      <items count="98">
        <item x="89"/>
        <item x="25"/>
        <item x="57"/>
        <item x="61"/>
        <item x="80"/>
        <item x="46"/>
        <item x="6"/>
        <item x="7"/>
        <item x="37"/>
        <item x="49"/>
        <item x="91"/>
        <item x="27"/>
        <item x="41"/>
        <item x="88"/>
        <item x="60"/>
        <item x="66"/>
        <item x="77"/>
        <item x="55"/>
        <item x="24"/>
        <item x="83"/>
        <item x="79"/>
        <item x="67"/>
        <item x="73"/>
        <item x="3"/>
        <item x="51"/>
        <item x="28"/>
        <item x="12"/>
        <item x="52"/>
        <item x="0"/>
        <item x="38"/>
        <item x="69"/>
        <item x="5"/>
        <item x="75"/>
        <item x="74"/>
        <item x="20"/>
        <item x="40"/>
        <item x="72"/>
        <item x="54"/>
        <item x="43"/>
        <item x="53"/>
        <item x="90"/>
        <item x="42"/>
        <item x="86"/>
        <item x="36"/>
        <item x="63"/>
        <item x="64"/>
        <item x="82"/>
        <item x="92"/>
        <item x="65"/>
        <item x="9"/>
        <item x="45"/>
        <item x="18"/>
        <item x="30"/>
        <item x="84"/>
        <item x="95"/>
        <item x="23"/>
        <item x="19"/>
        <item x="93"/>
        <item x="76"/>
        <item x="96"/>
        <item x="71"/>
        <item x="33"/>
        <item x="32"/>
        <item x="2"/>
        <item x="70"/>
        <item x="29"/>
        <item x="68"/>
        <item x="56"/>
        <item x="1"/>
        <item x="85"/>
        <item x="44"/>
        <item x="26"/>
        <item x="4"/>
        <item x="58"/>
        <item x="14"/>
        <item x="39"/>
        <item x="31"/>
        <item x="78"/>
        <item x="94"/>
        <item x="48"/>
        <item x="21"/>
        <item x="22"/>
        <item x="35"/>
        <item x="81"/>
        <item x="62"/>
        <item x="10"/>
        <item x="15"/>
        <item x="13"/>
        <item x="59"/>
        <item x="87"/>
        <item x="50"/>
        <item x="47"/>
        <item x="11"/>
        <item x="17"/>
        <item x="16"/>
        <item x="34"/>
        <item x="8"/>
        <item t="default"/>
      </items>
    </pivotField>
    <pivotField showAll="0"/>
    <pivotField axis="axisRow" showAll="0">
      <items count="116">
        <item x="99"/>
        <item x="80"/>
        <item x="66"/>
        <item x="110"/>
        <item x="6"/>
        <item x="97"/>
        <item x="114"/>
        <item x="107"/>
        <item x="95"/>
        <item x="87"/>
        <item x="86"/>
        <item x="84"/>
        <item x="105"/>
        <item x="75"/>
        <item x="101"/>
        <item x="83"/>
        <item x="85"/>
        <item x="67"/>
        <item x="73"/>
        <item x="47"/>
        <item x="44"/>
        <item x="100"/>
        <item x="98"/>
        <item x="89"/>
        <item x="113"/>
        <item x="1"/>
        <item x="90"/>
        <item x="81"/>
        <item x="53"/>
        <item x="50"/>
        <item x="32"/>
        <item x="29"/>
        <item x="25"/>
        <item x="78"/>
        <item x="21"/>
        <item x="45"/>
        <item x="18"/>
        <item x="43"/>
        <item x="42"/>
        <item x="12"/>
        <item x="11"/>
        <item x="5"/>
        <item x="4"/>
        <item x="82"/>
        <item x="39"/>
        <item x="3"/>
        <item x="57"/>
        <item x="2"/>
        <item x="54"/>
        <item x="0"/>
        <item x="77"/>
        <item x="52"/>
        <item x="37"/>
        <item x="36"/>
        <item x="33"/>
        <item x="31"/>
        <item x="28"/>
        <item x="26"/>
        <item x="24"/>
        <item x="48"/>
        <item x="20"/>
        <item x="72"/>
        <item x="17"/>
        <item x="15"/>
        <item x="13"/>
        <item x="69"/>
        <item x="10"/>
        <item x="8"/>
        <item x="112"/>
        <item x="91"/>
        <item x="65"/>
        <item x="64"/>
        <item x="35"/>
        <item x="104"/>
        <item x="30"/>
        <item x="27"/>
        <item x="94"/>
        <item x="23"/>
        <item x="61"/>
        <item x="106"/>
        <item x="22"/>
        <item x="71"/>
        <item x="16"/>
        <item x="14"/>
        <item x="70"/>
        <item x="68"/>
        <item x="7"/>
        <item x="92"/>
        <item x="63"/>
        <item x="62"/>
        <item x="74"/>
        <item x="111"/>
        <item x="102"/>
        <item x="19"/>
        <item x="59"/>
        <item x="41"/>
        <item x="38"/>
        <item x="56"/>
        <item x="51"/>
        <item x="49"/>
        <item x="60"/>
        <item x="46"/>
        <item x="40"/>
        <item x="88"/>
        <item x="96"/>
        <item x="109"/>
        <item x="76"/>
        <item x="108"/>
        <item x="58"/>
        <item x="79"/>
        <item x="103"/>
        <item x="9"/>
        <item x="34"/>
        <item x="55"/>
        <item x="93"/>
        <item t="default"/>
      </items>
    </pivotField>
    <pivotField showAll="0"/>
    <pivotField axis="axisRow" showAll="0">
      <items count="197">
        <item x="107"/>
        <item x="187"/>
        <item x="152"/>
        <item x="158"/>
        <item x="33"/>
        <item x="10"/>
        <item x="108"/>
        <item x="99"/>
        <item x="8"/>
        <item x="166"/>
        <item x="175"/>
        <item x="95"/>
        <item x="91"/>
        <item x="86"/>
        <item x="133"/>
        <item x="185"/>
        <item x="3"/>
        <item x="46"/>
        <item x="36"/>
        <item x="55"/>
        <item x="79"/>
        <item x="128"/>
        <item x="109"/>
        <item x="195"/>
        <item x="170"/>
        <item x="89"/>
        <item x="87"/>
        <item x="70"/>
        <item x="12"/>
        <item x="176"/>
        <item x="57"/>
        <item x="47"/>
        <item x="180"/>
        <item x="118"/>
        <item x="121"/>
        <item x="100"/>
        <item x="148"/>
        <item x="41"/>
        <item x="92"/>
        <item x="116"/>
        <item x="139"/>
        <item x="150"/>
        <item x="106"/>
        <item x="68"/>
        <item x="81"/>
        <item x="159"/>
        <item x="5"/>
        <item x="77"/>
        <item x="90"/>
        <item x="16"/>
        <item x="21"/>
        <item x="191"/>
        <item x="143"/>
        <item x="155"/>
        <item x="20"/>
        <item x="173"/>
        <item x="67"/>
        <item x="52"/>
        <item x="144"/>
        <item x="119"/>
        <item x="34"/>
        <item x="4"/>
        <item x="126"/>
        <item x="78"/>
        <item x="101"/>
        <item x="58"/>
        <item x="0"/>
        <item x="102"/>
        <item x="26"/>
        <item x="66"/>
        <item x="98"/>
        <item x="164"/>
        <item x="50"/>
        <item x="51"/>
        <item x="28"/>
        <item x="24"/>
        <item x="65"/>
        <item x="182"/>
        <item x="190"/>
        <item x="27"/>
        <item x="149"/>
        <item x="120"/>
        <item x="130"/>
        <item x="157"/>
        <item x="60"/>
        <item x="38"/>
        <item x="127"/>
        <item x="122"/>
        <item x="183"/>
        <item x="88"/>
        <item x="137"/>
        <item x="169"/>
        <item x="23"/>
        <item x="2"/>
        <item x="184"/>
        <item x="53"/>
        <item x="63"/>
        <item x="146"/>
        <item x="193"/>
        <item x="186"/>
        <item x="135"/>
        <item x="83"/>
        <item x="129"/>
        <item x="54"/>
        <item x="134"/>
        <item x="179"/>
        <item x="177"/>
        <item x="174"/>
        <item x="44"/>
        <item x="39"/>
        <item x="147"/>
        <item x="22"/>
        <item x="138"/>
        <item x="110"/>
        <item x="85"/>
        <item x="62"/>
        <item x="15"/>
        <item x="117"/>
        <item x="31"/>
        <item x="178"/>
        <item x="111"/>
        <item x="84"/>
        <item x="74"/>
        <item x="45"/>
        <item x="132"/>
        <item x="125"/>
        <item x="123"/>
        <item x="188"/>
        <item x="115"/>
        <item x="104"/>
        <item x="71"/>
        <item x="114"/>
        <item x="82"/>
        <item x="11"/>
        <item x="162"/>
        <item x="167"/>
        <item x="103"/>
        <item x="29"/>
        <item x="32"/>
        <item x="94"/>
        <item x="194"/>
        <item x="64"/>
        <item x="69"/>
        <item x="72"/>
        <item x="56"/>
        <item x="9"/>
        <item x="153"/>
        <item x="75"/>
        <item x="172"/>
        <item x="189"/>
        <item x="25"/>
        <item x="93"/>
        <item x="76"/>
        <item x="14"/>
        <item x="151"/>
        <item x="105"/>
        <item x="181"/>
        <item x="140"/>
        <item x="112"/>
        <item x="113"/>
        <item x="136"/>
        <item x="142"/>
        <item x="192"/>
        <item x="160"/>
        <item x="19"/>
        <item x="6"/>
        <item x="171"/>
        <item x="43"/>
        <item x="13"/>
        <item x="165"/>
        <item x="141"/>
        <item x="42"/>
        <item x="124"/>
        <item x="37"/>
        <item x="80"/>
        <item x="59"/>
        <item x="73"/>
        <item x="18"/>
        <item x="168"/>
        <item x="49"/>
        <item x="30"/>
        <item x="131"/>
        <item x="17"/>
        <item x="96"/>
        <item x="97"/>
        <item x="154"/>
        <item x="40"/>
        <item x="7"/>
        <item x="163"/>
        <item x="35"/>
        <item x="48"/>
        <item x="1"/>
        <item x="61"/>
        <item x="156"/>
        <item x="145"/>
        <item x="161"/>
        <item t="default"/>
      </items>
    </pivotField>
    <pivotField numFmtId="14" showAll="0"/>
    <pivotField showAll="0">
      <items count="116">
        <item x="93"/>
        <item x="80"/>
        <item x="66"/>
        <item x="110"/>
        <item x="6"/>
        <item x="97"/>
        <item x="114"/>
        <item x="107"/>
        <item x="95"/>
        <item x="87"/>
        <item x="86"/>
        <item x="84"/>
        <item x="105"/>
        <item x="75"/>
        <item x="101"/>
        <item x="83"/>
        <item x="85"/>
        <item x="67"/>
        <item x="73"/>
        <item x="47"/>
        <item x="44"/>
        <item x="100"/>
        <item x="98"/>
        <item x="89"/>
        <item x="113"/>
        <item x="1"/>
        <item x="90"/>
        <item x="81"/>
        <item x="53"/>
        <item x="50"/>
        <item x="32"/>
        <item x="29"/>
        <item x="25"/>
        <item x="78"/>
        <item x="21"/>
        <item x="45"/>
        <item x="18"/>
        <item x="43"/>
        <item x="42"/>
        <item x="12"/>
        <item x="11"/>
        <item x="5"/>
        <item x="4"/>
        <item x="82"/>
        <item x="39"/>
        <item x="3"/>
        <item x="57"/>
        <item x="2"/>
        <item x="54"/>
        <item x="0"/>
        <item x="77"/>
        <item x="52"/>
        <item x="37"/>
        <item x="36"/>
        <item x="33"/>
        <item x="31"/>
        <item x="28"/>
        <item x="26"/>
        <item x="24"/>
        <item x="48"/>
        <item x="20"/>
        <item x="72"/>
        <item x="17"/>
        <item x="15"/>
        <item x="13"/>
        <item x="69"/>
        <item x="10"/>
        <item x="8"/>
        <item x="112"/>
        <item x="91"/>
        <item x="65"/>
        <item x="64"/>
        <item x="35"/>
        <item x="104"/>
        <item x="30"/>
        <item x="27"/>
        <item x="94"/>
        <item x="23"/>
        <item x="61"/>
        <item x="106"/>
        <item x="22"/>
        <item x="71"/>
        <item x="16"/>
        <item x="14"/>
        <item x="70"/>
        <item x="68"/>
        <item x="7"/>
        <item x="92"/>
        <item x="63"/>
        <item x="62"/>
        <item x="74"/>
        <item x="111"/>
        <item x="102"/>
        <item x="19"/>
        <item x="59"/>
        <item x="41"/>
        <item x="38"/>
        <item x="56"/>
        <item x="51"/>
        <item x="49"/>
        <item x="60"/>
        <item x="46"/>
        <item x="40"/>
        <item x="88"/>
        <item x="96"/>
        <item x="109"/>
        <item x="76"/>
        <item x="108"/>
        <item x="58"/>
        <item x="79"/>
        <item x="103"/>
        <item x="9"/>
        <item x="34"/>
        <item x="55"/>
        <item x="99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axis="axisRow" showAll="0">
      <items count="13"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sd="0" x="11"/>
        <item t="default"/>
      </items>
    </pivotField>
  </pivotFields>
  <rowFields count="6">
    <field x="10"/>
    <field x="0"/>
    <field x="4"/>
    <field x="1"/>
    <field x="9"/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ice" fld="1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B544-74C1-4DFE-AC1A-BAE0B8CDDDEC}">
  <sheetPr>
    <tabColor theme="8" tint="0.39997558519241921"/>
  </sheetPr>
  <dimension ref="B1:E39"/>
  <sheetViews>
    <sheetView zoomScale="55" zoomScaleNormal="55" workbookViewId="0">
      <selection activeCell="H28" sqref="H28"/>
    </sheetView>
  </sheetViews>
  <sheetFormatPr defaultRowHeight="12.5"/>
  <cols>
    <col min="1" max="1" width="8.7265625" style="83"/>
    <col min="2" max="2" width="11.81640625" style="80" bestFit="1" customWidth="1"/>
    <col min="3" max="3" width="7.54296875" style="166" bestFit="1" customWidth="1"/>
    <col min="4" max="4" width="11.6328125" style="166" customWidth="1"/>
    <col min="5" max="5" width="15.81640625" style="166" bestFit="1" customWidth="1"/>
    <col min="6" max="16384" width="8.7265625" style="83"/>
  </cols>
  <sheetData>
    <row r="1" spans="2:5" s="79" customFormat="1">
      <c r="C1" s="166"/>
      <c r="D1" s="166"/>
      <c r="E1" s="166"/>
    </row>
    <row r="2" spans="2:5" s="79" customFormat="1">
      <c r="C2" s="166"/>
      <c r="D2" s="166"/>
      <c r="E2" s="166"/>
    </row>
    <row r="3" spans="2:5" s="79" customFormat="1">
      <c r="B3" s="208" t="s">
        <v>411</v>
      </c>
      <c r="C3" s="208"/>
      <c r="D3" s="208"/>
      <c r="E3" s="208"/>
    </row>
    <row r="4" spans="2:5" s="79" customFormat="1">
      <c r="B4" s="81" t="s">
        <v>392</v>
      </c>
      <c r="C4" s="167" t="s">
        <v>405</v>
      </c>
      <c r="D4" s="167" t="s">
        <v>406</v>
      </c>
      <c r="E4" s="167" t="s">
        <v>427</v>
      </c>
    </row>
    <row r="5" spans="2:5">
      <c r="B5" s="82" t="s">
        <v>396</v>
      </c>
      <c r="C5" s="168">
        <f>SUM('Total Customer Apple Music'!B204)</f>
        <v>125</v>
      </c>
      <c r="D5" s="168"/>
      <c r="E5" s="168"/>
    </row>
    <row r="6" spans="2:5">
      <c r="B6" s="82" t="s">
        <v>397</v>
      </c>
      <c r="C6" s="168">
        <f>SUM('Total Customer Apple Music'!B199:B203)</f>
        <v>620</v>
      </c>
      <c r="D6" s="168"/>
      <c r="E6" s="168"/>
    </row>
    <row r="7" spans="2:5">
      <c r="B7" s="82" t="s">
        <v>398</v>
      </c>
      <c r="C7" s="168">
        <f>SUM('Total Customer Apple Music'!B191:B198)</f>
        <v>1290</v>
      </c>
      <c r="D7" s="168"/>
      <c r="E7" s="168"/>
    </row>
    <row r="8" spans="2:5">
      <c r="B8" s="82" t="s">
        <v>399</v>
      </c>
      <c r="C8" s="168">
        <f>SUM('Total Customer Apple Music'!B172:B190)</f>
        <v>1715</v>
      </c>
      <c r="D8" s="168"/>
      <c r="E8" s="168"/>
    </row>
    <row r="9" spans="2:5">
      <c r="B9" s="82" t="s">
        <v>400</v>
      </c>
      <c r="C9" s="168">
        <f>SUM('Total Customer Apple Music'!B167:B171)</f>
        <v>565</v>
      </c>
      <c r="D9" s="168"/>
      <c r="E9" s="168"/>
    </row>
    <row r="10" spans="2:5">
      <c r="B10" s="82" t="s">
        <v>401</v>
      </c>
      <c r="C10" s="168">
        <f>SUM('Total Customer Apple Music'!B163:B166)</f>
        <v>435</v>
      </c>
      <c r="D10" s="168"/>
      <c r="E10" s="168"/>
    </row>
    <row r="11" spans="2:5">
      <c r="B11" s="82" t="s">
        <v>402</v>
      </c>
      <c r="C11" s="168">
        <f>SUM('Total Customer Apple Music'!B144:B162)</f>
        <v>3385</v>
      </c>
      <c r="D11" s="168"/>
      <c r="E11" s="168"/>
    </row>
    <row r="12" spans="2:5">
      <c r="B12" s="82" t="s">
        <v>403</v>
      </c>
      <c r="C12" s="168">
        <f>SUM('Total Customer Apple Music'!B120:B143)</f>
        <v>4520</v>
      </c>
      <c r="D12" s="168"/>
      <c r="E12" s="168"/>
    </row>
    <row r="13" spans="2:5">
      <c r="B13" s="82" t="s">
        <v>404</v>
      </c>
      <c r="C13" s="168">
        <f>SUM('Total Customer Apple Music'!B100:B119)</f>
        <v>4485</v>
      </c>
      <c r="D13" s="168"/>
      <c r="E13" s="168"/>
    </row>
    <row r="14" spans="2:5">
      <c r="B14" s="82" t="s">
        <v>393</v>
      </c>
      <c r="C14" s="168">
        <f>SUM('Total Customer Apple Music'!B56:B99)</f>
        <v>6150</v>
      </c>
      <c r="D14" s="168"/>
      <c r="E14" s="168"/>
    </row>
    <row r="15" spans="2:5">
      <c r="B15" s="82" t="s">
        <v>394</v>
      </c>
      <c r="C15" s="168">
        <f>SUM('Total Customer Apple Music'!B6:B55)</f>
        <v>3687</v>
      </c>
      <c r="D15" s="168">
        <f>APPLE_MUSIC_EXPENSES</f>
        <v>1005</v>
      </c>
      <c r="E15" s="168">
        <f>C15-D15</f>
        <v>2682</v>
      </c>
    </row>
    <row r="16" spans="2:5">
      <c r="B16" s="82" t="s">
        <v>395</v>
      </c>
      <c r="C16" s="168">
        <f>SUM('Total Customer Apple Music'!B2:B5)</f>
        <v>161</v>
      </c>
      <c r="D16" s="168"/>
      <c r="E16" s="168"/>
    </row>
    <row r="17" spans="2:5">
      <c r="B17" s="82" t="s">
        <v>432</v>
      </c>
      <c r="C17" s="168">
        <f>SUM(C5:C16)</f>
        <v>27138</v>
      </c>
      <c r="D17" s="168">
        <f t="shared" ref="D17:E17" si="0">SUM(D5:D16)</f>
        <v>1005</v>
      </c>
      <c r="E17" s="168">
        <f t="shared" si="0"/>
        <v>2682</v>
      </c>
    </row>
    <row r="20" spans="2:5">
      <c r="B20" s="208" t="s">
        <v>500</v>
      </c>
      <c r="C20" s="208"/>
      <c r="D20" s="208"/>
      <c r="E20" s="208"/>
    </row>
    <row r="21" spans="2:5">
      <c r="B21" s="81" t="s">
        <v>392</v>
      </c>
      <c r="C21" s="167" t="s">
        <v>405</v>
      </c>
      <c r="D21" s="167" t="s">
        <v>406</v>
      </c>
      <c r="E21" s="167" t="s">
        <v>427</v>
      </c>
    </row>
    <row r="22" spans="2:5">
      <c r="B22" s="82" t="s">
        <v>394</v>
      </c>
      <c r="C22" s="168">
        <f>SUM('PRIME VIDEO'!B2:B12)</f>
        <v>1705</v>
      </c>
      <c r="D22" s="168">
        <f>4*161</f>
        <v>644</v>
      </c>
      <c r="E22" s="168">
        <f>C22-D22</f>
        <v>1061</v>
      </c>
    </row>
    <row r="23" spans="2:5">
      <c r="B23" s="82" t="s">
        <v>395</v>
      </c>
      <c r="C23" s="168">
        <f>'PRIME VIDEO'!B13</f>
        <v>65</v>
      </c>
      <c r="D23" s="168">
        <v>161</v>
      </c>
      <c r="E23" s="168">
        <f>C23-D23</f>
        <v>-96</v>
      </c>
    </row>
    <row r="25" spans="2:5">
      <c r="B25" s="208" t="s">
        <v>476</v>
      </c>
      <c r="C25" s="208"/>
      <c r="D25" s="208"/>
      <c r="E25" s="208"/>
    </row>
    <row r="26" spans="2:5">
      <c r="B26" s="81" t="s">
        <v>392</v>
      </c>
      <c r="C26" s="167" t="s">
        <v>405</v>
      </c>
      <c r="D26" s="167" t="s">
        <v>406</v>
      </c>
      <c r="E26" s="167" t="s">
        <v>427</v>
      </c>
    </row>
    <row r="27" spans="2:5">
      <c r="B27" s="82" t="s">
        <v>394</v>
      </c>
      <c r="C27" s="168">
        <v>715</v>
      </c>
      <c r="D27" s="168">
        <f>156*2</f>
        <v>312</v>
      </c>
      <c r="E27" s="168">
        <f>C27-D27</f>
        <v>403</v>
      </c>
    </row>
    <row r="28" spans="2:5">
      <c r="B28" s="82" t="s">
        <v>395</v>
      </c>
      <c r="C28" s="168">
        <f>SUM('Total Customer Apple Music'!B221:B225)</f>
        <v>0</v>
      </c>
      <c r="D28" s="168"/>
      <c r="E28" s="168"/>
    </row>
    <row r="31" spans="2:5">
      <c r="B31" s="208" t="s">
        <v>498</v>
      </c>
      <c r="C31" s="208"/>
      <c r="D31" s="208"/>
      <c r="E31" s="208"/>
    </row>
    <row r="32" spans="2:5">
      <c r="B32" s="81" t="s">
        <v>392</v>
      </c>
      <c r="C32" s="167" t="s">
        <v>405</v>
      </c>
      <c r="D32" s="167" t="s">
        <v>406</v>
      </c>
      <c r="E32" s="167" t="s">
        <v>427</v>
      </c>
    </row>
    <row r="33" spans="2:5">
      <c r="B33" s="82" t="s">
        <v>394</v>
      </c>
      <c r="C33" s="168">
        <f>SUM('DSTV CUSTOMERS'!B4:B6)</f>
        <v>485</v>
      </c>
      <c r="D33" s="168">
        <f>40*3</f>
        <v>120</v>
      </c>
      <c r="E33" s="168">
        <f>C33-D33</f>
        <v>365</v>
      </c>
    </row>
    <row r="34" spans="2:5">
      <c r="B34" s="82" t="s">
        <v>395</v>
      </c>
      <c r="C34" s="168">
        <f>SUM('Total Customer Apple Music'!B227:B231)</f>
        <v>0</v>
      </c>
      <c r="D34" s="168"/>
      <c r="E34" s="168"/>
    </row>
    <row r="36" spans="2:5">
      <c r="B36" s="208" t="s">
        <v>499</v>
      </c>
      <c r="C36" s="208"/>
      <c r="D36" s="208"/>
      <c r="E36" s="208"/>
    </row>
    <row r="37" spans="2:5">
      <c r="B37" s="81" t="s">
        <v>392</v>
      </c>
      <c r="C37" s="167" t="s">
        <v>405</v>
      </c>
      <c r="D37" s="167" t="s">
        <v>406</v>
      </c>
      <c r="E37" s="167" t="s">
        <v>427</v>
      </c>
    </row>
    <row r="38" spans="2:5">
      <c r="B38" s="82" t="s">
        <v>394</v>
      </c>
      <c r="C38" s="168">
        <f>SUM('ICLOUD STORAGE '!B12:B13)</f>
        <v>140</v>
      </c>
      <c r="D38" s="168">
        <v>80</v>
      </c>
      <c r="E38" s="168">
        <f>C38-D38</f>
        <v>60</v>
      </c>
    </row>
    <row r="39" spans="2:5">
      <c r="B39" s="82" t="s">
        <v>395</v>
      </c>
      <c r="C39" s="168">
        <f>SUM('Total Customer Apple Music'!B232:B236)</f>
        <v>0</v>
      </c>
      <c r="D39" s="168"/>
      <c r="E39" s="168">
        <f>C39-D39</f>
        <v>0</v>
      </c>
    </row>
  </sheetData>
  <mergeCells count="5">
    <mergeCell ref="B3:E3"/>
    <mergeCell ref="B20:E20"/>
    <mergeCell ref="B25:E25"/>
    <mergeCell ref="B31:E31"/>
    <mergeCell ref="B36:E36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4272-31DD-4413-AA77-E4316DAD7E55}">
  <sheetPr>
    <tabColor theme="4" tint="0.39997558519241921"/>
  </sheetPr>
  <dimension ref="B4:M60"/>
  <sheetViews>
    <sheetView topLeftCell="A4" zoomScale="63" workbookViewId="0">
      <selection activeCell="H64" sqref="H64"/>
    </sheetView>
  </sheetViews>
  <sheetFormatPr defaultRowHeight="12.5"/>
  <cols>
    <col min="1" max="1" width="8.7265625" style="1"/>
    <col min="2" max="2" width="8.7265625" style="6"/>
    <col min="3" max="3" width="27.6328125" style="6" customWidth="1"/>
    <col min="4" max="6" width="15.7265625" style="6" customWidth="1"/>
    <col min="7" max="7" width="11.08984375" style="10" bestFit="1" customWidth="1"/>
    <col min="8" max="8" width="8.7265625" style="1"/>
    <col min="9" max="9" width="9.6328125" style="8" customWidth="1"/>
    <col min="10" max="10" width="17.54296875" style="6" customWidth="1"/>
    <col min="11" max="11" width="14.7265625" style="6" customWidth="1"/>
    <col min="12" max="12" width="17.36328125" style="1" customWidth="1"/>
    <col min="13" max="13" width="40.26953125" style="1" bestFit="1" customWidth="1"/>
    <col min="14" max="16384" width="8.7265625" style="1"/>
  </cols>
  <sheetData>
    <row r="4" spans="2:13" s="3" customFormat="1" ht="20">
      <c r="B4" s="220" t="s">
        <v>384</v>
      </c>
      <c r="C4" s="221"/>
      <c r="D4" s="216" t="s">
        <v>382</v>
      </c>
      <c r="E4" s="219" t="s">
        <v>478</v>
      </c>
      <c r="F4" s="14"/>
      <c r="G4" s="9"/>
      <c r="I4" s="220" t="s">
        <v>380</v>
      </c>
      <c r="J4" s="221"/>
      <c r="K4" s="209" t="s">
        <v>382</v>
      </c>
      <c r="L4" s="209" t="s">
        <v>478</v>
      </c>
    </row>
    <row r="5" spans="2:13" s="3" customFormat="1" ht="20">
      <c r="B5" s="222"/>
      <c r="C5" s="223"/>
      <c r="D5" s="217"/>
      <c r="E5" s="219"/>
      <c r="F5" s="14"/>
      <c r="G5" s="9"/>
      <c r="I5" s="222"/>
      <c r="J5" s="223"/>
      <c r="K5" s="210"/>
      <c r="L5" s="210"/>
    </row>
    <row r="6" spans="2:13" s="17" customFormat="1" ht="20">
      <c r="B6" s="18" t="s">
        <v>385</v>
      </c>
      <c r="C6" s="18" t="s">
        <v>477</v>
      </c>
      <c r="D6" s="218"/>
      <c r="E6" s="219"/>
      <c r="F6" s="14"/>
      <c r="G6" s="16"/>
      <c r="I6" s="19" t="s">
        <v>391</v>
      </c>
      <c r="J6" s="53" t="s">
        <v>386</v>
      </c>
      <c r="K6" s="211"/>
      <c r="L6" s="211"/>
    </row>
    <row r="7" spans="2:13">
      <c r="B7" s="52">
        <v>1</v>
      </c>
      <c r="C7" s="5">
        <v>65</v>
      </c>
      <c r="D7" s="5">
        <v>1</v>
      </c>
      <c r="E7" s="50" t="s">
        <v>389</v>
      </c>
      <c r="F7" s="54"/>
      <c r="I7" s="52">
        <v>1</v>
      </c>
      <c r="J7" s="5">
        <v>32</v>
      </c>
      <c r="K7" s="5">
        <v>1</v>
      </c>
      <c r="L7" s="50" t="s">
        <v>389</v>
      </c>
      <c r="M7" s="13"/>
    </row>
    <row r="8" spans="2:13">
      <c r="B8" s="52">
        <v>2</v>
      </c>
      <c r="C8" s="5">
        <v>125</v>
      </c>
      <c r="D8" s="5">
        <v>1</v>
      </c>
      <c r="E8" s="50" t="s">
        <v>389</v>
      </c>
      <c r="F8" s="54"/>
      <c r="I8" s="52">
        <v>2</v>
      </c>
      <c r="J8" s="5">
        <v>65</v>
      </c>
      <c r="K8" s="5">
        <v>1</v>
      </c>
      <c r="L8" s="50" t="s">
        <v>389</v>
      </c>
    </row>
    <row r="9" spans="2:13">
      <c r="B9" s="52">
        <v>3</v>
      </c>
      <c r="C9" s="5">
        <v>185</v>
      </c>
      <c r="D9" s="5">
        <v>1</v>
      </c>
      <c r="E9" s="50" t="s">
        <v>389</v>
      </c>
      <c r="F9" s="54"/>
      <c r="I9" s="52">
        <v>3</v>
      </c>
      <c r="J9" s="5">
        <v>100</v>
      </c>
      <c r="K9" s="5">
        <v>1</v>
      </c>
      <c r="L9" s="50" t="s">
        <v>389</v>
      </c>
    </row>
    <row r="10" spans="2:13">
      <c r="B10" s="52">
        <v>4</v>
      </c>
      <c r="C10" s="5">
        <v>245</v>
      </c>
      <c r="D10" s="5">
        <v>1</v>
      </c>
      <c r="E10" s="50" t="s">
        <v>389</v>
      </c>
      <c r="F10" s="54"/>
      <c r="I10" s="52">
        <v>4</v>
      </c>
      <c r="J10" s="5">
        <v>135</v>
      </c>
      <c r="K10" s="5">
        <v>1</v>
      </c>
      <c r="L10" s="50" t="s">
        <v>389</v>
      </c>
    </row>
    <row r="11" spans="2:13">
      <c r="B11" s="52">
        <v>5</v>
      </c>
      <c r="C11" s="5">
        <v>275</v>
      </c>
      <c r="D11" s="5">
        <v>1</v>
      </c>
      <c r="E11" s="49">
        <v>3</v>
      </c>
      <c r="F11" s="55"/>
      <c r="G11" s="51">
        <f>E11*24</f>
        <v>72</v>
      </c>
      <c r="I11" s="52">
        <v>5</v>
      </c>
      <c r="J11" s="5">
        <v>275</v>
      </c>
      <c r="K11" s="5">
        <v>1</v>
      </c>
      <c r="L11" s="49">
        <v>3</v>
      </c>
      <c r="M11" s="51">
        <f>L11*24</f>
        <v>72</v>
      </c>
    </row>
    <row r="12" spans="2:13">
      <c r="B12" s="52">
        <v>6</v>
      </c>
      <c r="C12" s="5">
        <v>325</v>
      </c>
      <c r="D12" s="5">
        <v>1</v>
      </c>
      <c r="E12" s="49">
        <v>6</v>
      </c>
      <c r="F12" s="55"/>
      <c r="G12" s="51">
        <f t="shared" ref="G12:G13" si="0">E12*24</f>
        <v>144</v>
      </c>
      <c r="I12" s="52">
        <v>6</v>
      </c>
      <c r="J12" s="5">
        <v>195</v>
      </c>
      <c r="K12" s="5">
        <v>1</v>
      </c>
      <c r="L12" s="49">
        <v>6</v>
      </c>
      <c r="M12" s="51">
        <f t="shared" ref="M12:M13" si="1">L12*24</f>
        <v>144</v>
      </c>
    </row>
    <row r="13" spans="2:13">
      <c r="B13" s="52">
        <v>12</v>
      </c>
      <c r="C13" s="5">
        <v>450</v>
      </c>
      <c r="D13" s="5">
        <v>2</v>
      </c>
      <c r="E13" s="49">
        <v>6</v>
      </c>
      <c r="F13" s="55"/>
      <c r="G13" s="51">
        <f t="shared" si="0"/>
        <v>144</v>
      </c>
      <c r="I13" s="52">
        <v>12</v>
      </c>
      <c r="J13" s="5">
        <v>225</v>
      </c>
      <c r="K13" s="5">
        <v>2</v>
      </c>
      <c r="L13" s="49">
        <v>6</v>
      </c>
      <c r="M13" s="51">
        <f t="shared" si="1"/>
        <v>144</v>
      </c>
    </row>
    <row r="14" spans="2:13">
      <c r="B14" s="56"/>
      <c r="G14" s="51"/>
      <c r="I14" s="15"/>
    </row>
    <row r="16" spans="2:13" s="10" customFormat="1">
      <c r="B16" s="12"/>
      <c r="C16" s="12"/>
      <c r="D16" s="12"/>
      <c r="E16" s="12"/>
      <c r="F16" s="12"/>
      <c r="I16" s="11"/>
      <c r="J16" s="12"/>
      <c r="K16" s="12"/>
    </row>
    <row r="18" spans="2:11" s="3" customFormat="1" ht="20">
      <c r="B18" s="212" t="s">
        <v>383</v>
      </c>
      <c r="C18" s="213"/>
      <c r="D18" s="209" t="s">
        <v>382</v>
      </c>
      <c r="E18" s="209" t="s">
        <v>478</v>
      </c>
      <c r="F18" s="14"/>
      <c r="G18" s="9"/>
      <c r="I18" s="212" t="s">
        <v>380</v>
      </c>
      <c r="J18" s="213"/>
      <c r="K18" s="209" t="s">
        <v>382</v>
      </c>
    </row>
    <row r="19" spans="2:11" s="3" customFormat="1" ht="20">
      <c r="B19" s="214"/>
      <c r="C19" s="215"/>
      <c r="D19" s="211"/>
      <c r="E19" s="211"/>
      <c r="F19" s="14"/>
      <c r="G19" s="9"/>
      <c r="I19" s="214"/>
      <c r="J19" s="215"/>
      <c r="K19" s="211"/>
    </row>
    <row r="20" spans="2:11" ht="12.5" customHeight="1">
      <c r="B20" s="52" t="s">
        <v>375</v>
      </c>
      <c r="C20" s="5">
        <v>65</v>
      </c>
      <c r="D20" s="5">
        <v>1</v>
      </c>
      <c r="E20" s="5">
        <v>161</v>
      </c>
      <c r="I20" s="7" t="s">
        <v>381</v>
      </c>
      <c r="J20" s="5">
        <v>50</v>
      </c>
      <c r="K20" s="5">
        <v>1</v>
      </c>
    </row>
    <row r="21" spans="2:11">
      <c r="B21" s="52" t="s">
        <v>376</v>
      </c>
      <c r="C21" s="5">
        <v>105</v>
      </c>
      <c r="D21" s="5">
        <v>1</v>
      </c>
      <c r="E21" s="5">
        <v>161</v>
      </c>
      <c r="I21" s="7" t="s">
        <v>376</v>
      </c>
      <c r="J21" s="5">
        <v>98</v>
      </c>
      <c r="K21" s="5">
        <v>1</v>
      </c>
    </row>
    <row r="22" spans="2:11">
      <c r="B22" s="52" t="s">
        <v>377</v>
      </c>
      <c r="C22" s="5">
        <v>155</v>
      </c>
      <c r="D22" s="5">
        <v>1</v>
      </c>
      <c r="E22" s="5">
        <v>161</v>
      </c>
      <c r="I22" s="7" t="s">
        <v>377</v>
      </c>
      <c r="J22" s="5">
        <v>150</v>
      </c>
      <c r="K22" s="5">
        <v>1</v>
      </c>
    </row>
    <row r="23" spans="2:11">
      <c r="B23" s="56"/>
      <c r="I23" s="7" t="s">
        <v>378</v>
      </c>
      <c r="J23" s="5">
        <v>225</v>
      </c>
      <c r="K23" s="5">
        <v>1</v>
      </c>
    </row>
    <row r="24" spans="2:11">
      <c r="B24" s="56"/>
      <c r="I24" s="7" t="s">
        <v>379</v>
      </c>
      <c r="J24" s="5">
        <v>475</v>
      </c>
      <c r="K24" s="5">
        <v>2</v>
      </c>
    </row>
    <row r="27" spans="2:11" ht="12.5" customHeight="1">
      <c r="B27" s="212" t="s">
        <v>473</v>
      </c>
      <c r="C27" s="213"/>
      <c r="D27" s="209" t="s">
        <v>382</v>
      </c>
      <c r="E27" s="209" t="s">
        <v>478</v>
      </c>
    </row>
    <row r="28" spans="2:11" ht="12.5" customHeight="1">
      <c r="B28" s="214"/>
      <c r="C28" s="215"/>
      <c r="D28" s="211"/>
      <c r="E28" s="211"/>
    </row>
    <row r="29" spans="2:11">
      <c r="B29" s="52" t="s">
        <v>375</v>
      </c>
      <c r="C29" s="5">
        <v>55</v>
      </c>
      <c r="D29" s="5">
        <v>1</v>
      </c>
      <c r="E29" s="5"/>
    </row>
    <row r="30" spans="2:11">
      <c r="B30" s="52" t="s">
        <v>376</v>
      </c>
      <c r="C30" s="5">
        <v>100</v>
      </c>
      <c r="D30" s="5">
        <v>1</v>
      </c>
      <c r="E30" s="5"/>
    </row>
    <row r="31" spans="2:11">
      <c r="B31" s="52" t="s">
        <v>377</v>
      </c>
      <c r="C31" s="5">
        <v>145</v>
      </c>
      <c r="D31" s="5">
        <v>1</v>
      </c>
      <c r="E31" s="5"/>
    </row>
    <row r="35" spans="2:6" ht="12.5" customHeight="1">
      <c r="B35" s="212" t="s">
        <v>474</v>
      </c>
      <c r="C35" s="213"/>
      <c r="D35" s="209" t="s">
        <v>382</v>
      </c>
      <c r="E35" s="209" t="s">
        <v>478</v>
      </c>
    </row>
    <row r="36" spans="2:6" ht="12.5" customHeight="1">
      <c r="B36" s="214"/>
      <c r="C36" s="215"/>
      <c r="D36" s="211"/>
      <c r="E36" s="211"/>
    </row>
    <row r="37" spans="2:6">
      <c r="B37" s="52" t="s">
        <v>375</v>
      </c>
      <c r="C37" s="5">
        <v>45</v>
      </c>
      <c r="D37" s="5">
        <v>1</v>
      </c>
      <c r="E37" s="5">
        <v>70</v>
      </c>
    </row>
    <row r="38" spans="2:6">
      <c r="B38" s="52" t="s">
        <v>376</v>
      </c>
      <c r="C38" s="5">
        <v>95</v>
      </c>
      <c r="D38" s="5">
        <v>1</v>
      </c>
      <c r="E38" s="5">
        <v>70</v>
      </c>
    </row>
    <row r="39" spans="2:6">
      <c r="B39" s="52" t="s">
        <v>377</v>
      </c>
      <c r="C39" s="5">
        <v>145</v>
      </c>
      <c r="D39" s="5">
        <v>1</v>
      </c>
      <c r="E39" s="5">
        <v>70</v>
      </c>
    </row>
    <row r="42" spans="2:6" ht="12.5" customHeight="1">
      <c r="B42" s="212" t="s">
        <v>475</v>
      </c>
      <c r="C42" s="213"/>
      <c r="D42" s="209" t="s">
        <v>382</v>
      </c>
      <c r="E42" s="209" t="s">
        <v>478</v>
      </c>
    </row>
    <row r="43" spans="2:6" ht="12.5" customHeight="1">
      <c r="B43" s="214"/>
      <c r="C43" s="215"/>
      <c r="D43" s="211"/>
      <c r="E43" s="211"/>
    </row>
    <row r="44" spans="2:6">
      <c r="B44" s="52" t="s">
        <v>375</v>
      </c>
      <c r="C44" s="5">
        <v>100</v>
      </c>
      <c r="D44" s="5">
        <v>1</v>
      </c>
      <c r="E44" s="5">
        <v>260</v>
      </c>
    </row>
    <row r="45" spans="2:6">
      <c r="B45" s="52" t="s">
        <v>376</v>
      </c>
      <c r="C45" s="5">
        <v>180</v>
      </c>
      <c r="D45" s="5">
        <v>1</v>
      </c>
      <c r="E45" s="5">
        <v>260</v>
      </c>
      <c r="F45" s="56" t="s">
        <v>479</v>
      </c>
    </row>
    <row r="46" spans="2:6">
      <c r="B46" s="52" t="s">
        <v>377</v>
      </c>
      <c r="C46" s="5">
        <v>250</v>
      </c>
      <c r="D46" s="5">
        <v>1</v>
      </c>
      <c r="E46" s="5">
        <v>260</v>
      </c>
    </row>
    <row r="49" spans="2:6" ht="12.5" customHeight="1">
      <c r="B49" s="212" t="s">
        <v>480</v>
      </c>
      <c r="C49" s="213"/>
      <c r="D49" s="209" t="s">
        <v>382</v>
      </c>
      <c r="E49" s="209" t="s">
        <v>478</v>
      </c>
    </row>
    <row r="50" spans="2:6" ht="12.5" customHeight="1">
      <c r="B50" s="214"/>
      <c r="C50" s="215"/>
      <c r="D50" s="211"/>
      <c r="E50" s="211"/>
    </row>
    <row r="51" spans="2:6">
      <c r="B51" s="52" t="s">
        <v>375</v>
      </c>
      <c r="C51" s="5">
        <v>70</v>
      </c>
      <c r="D51" s="5">
        <v>1</v>
      </c>
      <c r="E51" s="5">
        <v>40</v>
      </c>
    </row>
    <row r="52" spans="2:6">
      <c r="B52" s="52" t="s">
        <v>376</v>
      </c>
      <c r="C52" s="5">
        <v>200</v>
      </c>
      <c r="D52" s="5">
        <v>1</v>
      </c>
      <c r="E52" s="5">
        <v>40</v>
      </c>
    </row>
    <row r="53" spans="2:6">
      <c r="B53" s="52" t="s">
        <v>377</v>
      </c>
      <c r="C53" s="5">
        <v>350</v>
      </c>
      <c r="D53" s="5">
        <v>1</v>
      </c>
      <c r="E53" s="5">
        <v>40</v>
      </c>
    </row>
    <row r="56" spans="2:6" ht="12.5" customHeight="1">
      <c r="B56" s="212" t="s">
        <v>476</v>
      </c>
      <c r="C56" s="213"/>
      <c r="D56" s="209" t="s">
        <v>382</v>
      </c>
      <c r="E56" s="209" t="s">
        <v>478</v>
      </c>
    </row>
    <row r="57" spans="2:6" ht="12.5" customHeight="1">
      <c r="B57" s="214"/>
      <c r="C57" s="215"/>
      <c r="D57" s="211"/>
      <c r="E57" s="211"/>
    </row>
    <row r="58" spans="2:6">
      <c r="B58" s="52" t="s">
        <v>375</v>
      </c>
      <c r="C58" s="5">
        <v>70</v>
      </c>
      <c r="D58" s="5">
        <v>1</v>
      </c>
      <c r="E58" s="5">
        <v>156</v>
      </c>
      <c r="F58" s="56" t="s">
        <v>479</v>
      </c>
    </row>
    <row r="59" spans="2:6">
      <c r="B59" s="52" t="s">
        <v>376</v>
      </c>
      <c r="C59" s="5">
        <v>200</v>
      </c>
      <c r="D59" s="5">
        <v>1</v>
      </c>
      <c r="E59" s="5">
        <v>156</v>
      </c>
    </row>
    <row r="60" spans="2:6">
      <c r="B60" s="52" t="s">
        <v>377</v>
      </c>
      <c r="C60" s="5">
        <v>350</v>
      </c>
      <c r="D60" s="5">
        <v>1</v>
      </c>
      <c r="E60" s="5">
        <v>156</v>
      </c>
      <c r="F60" s="6">
        <f>6*E59</f>
        <v>936</v>
      </c>
    </row>
  </sheetData>
  <mergeCells count="26">
    <mergeCell ref="E27:E28"/>
    <mergeCell ref="E35:E36"/>
    <mergeCell ref="E42:E43"/>
    <mergeCell ref="E49:E50"/>
    <mergeCell ref="E56:E57"/>
    <mergeCell ref="B49:C50"/>
    <mergeCell ref="D49:D50"/>
    <mergeCell ref="B56:C57"/>
    <mergeCell ref="D56:D57"/>
    <mergeCell ref="B27:C28"/>
    <mergeCell ref="D27:D28"/>
    <mergeCell ref="B35:C36"/>
    <mergeCell ref="D35:D36"/>
    <mergeCell ref="B42:C43"/>
    <mergeCell ref="D42:D43"/>
    <mergeCell ref="L4:L6"/>
    <mergeCell ref="K4:K6"/>
    <mergeCell ref="E18:E19"/>
    <mergeCell ref="B18:C19"/>
    <mergeCell ref="D18:D19"/>
    <mergeCell ref="I18:J19"/>
    <mergeCell ref="K18:K19"/>
    <mergeCell ref="D4:D6"/>
    <mergeCell ref="E4:E6"/>
    <mergeCell ref="B4:C5"/>
    <mergeCell ref="I4:J5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outlinePr summaryBelow="0" summaryRight="0"/>
    <pageSetUpPr fitToPage="1"/>
  </sheetPr>
  <dimension ref="A1:AA6134"/>
  <sheetViews>
    <sheetView zoomScale="39" workbookViewId="0">
      <pane ySplit="1" topLeftCell="A2" activePane="bottomLeft" state="frozen"/>
      <selection pane="bottomLeft" activeCell="F35" sqref="F35"/>
    </sheetView>
  </sheetViews>
  <sheetFormatPr defaultColWidth="12.6328125" defaultRowHeight="15.75" customHeight="1"/>
  <cols>
    <col min="1" max="1" width="26.54296875" style="73" customWidth="1"/>
    <col min="2" max="2" width="23" style="71" bestFit="1" customWidth="1"/>
    <col min="3" max="3" width="34.7265625" style="4" customWidth="1"/>
    <col min="4" max="5" width="34.7265625" style="6" customWidth="1"/>
    <col min="6" max="7" width="34.7265625" style="4" customWidth="1"/>
    <col min="8" max="8" width="34.7265625" style="74" customWidth="1"/>
    <col min="9" max="9" width="34.7265625" style="4" customWidth="1"/>
    <col min="10" max="10" width="26.08984375" style="75" bestFit="1" customWidth="1"/>
    <col min="11" max="11" width="17.6328125" style="75" bestFit="1" customWidth="1"/>
    <col min="12" max="16384" width="12.6328125" style="4"/>
  </cols>
  <sheetData>
    <row r="1" spans="1:11" s="20" customFormat="1" ht="82" customHeight="1">
      <c r="A1" s="84" t="s">
        <v>0</v>
      </c>
      <c r="B1" s="84" t="s">
        <v>374</v>
      </c>
      <c r="C1" s="84" t="s">
        <v>1</v>
      </c>
      <c r="D1" s="84" t="s">
        <v>2</v>
      </c>
      <c r="E1" s="84" t="s">
        <v>3</v>
      </c>
      <c r="F1" s="84" t="s">
        <v>4</v>
      </c>
      <c r="G1" s="84" t="s">
        <v>5</v>
      </c>
      <c r="H1" s="85" t="s">
        <v>387</v>
      </c>
      <c r="I1" s="86" t="s">
        <v>388</v>
      </c>
      <c r="J1" s="87" t="s">
        <v>390</v>
      </c>
      <c r="K1" s="87" t="s">
        <v>392</v>
      </c>
    </row>
    <row r="2" spans="1:11" s="47" customFormat="1" ht="31.5" customHeight="1">
      <c r="A2" s="88">
        <v>1</v>
      </c>
      <c r="B2" s="88">
        <f>VLOOKUP(A2, COSTS!$I$7:$J$13, 2, FALSE)</f>
        <v>32</v>
      </c>
      <c r="C2" s="88" t="s">
        <v>276</v>
      </c>
      <c r="D2" s="89">
        <v>45997</v>
      </c>
      <c r="E2" s="89">
        <v>46028</v>
      </c>
      <c r="F2" s="90">
        <v>777768771</v>
      </c>
      <c r="G2" s="90" t="s">
        <v>277</v>
      </c>
      <c r="H2" s="91">
        <f t="shared" ref="H2:H65" ca="1" si="0">NOW()</f>
        <v>46020.437982060183</v>
      </c>
      <c r="I2" s="92">
        <f t="shared" ref="I2:I65" ca="1" si="1">E2-H2</f>
        <v>7.5620179398174514</v>
      </c>
      <c r="J2" s="93" t="str">
        <f t="shared" ref="J2:J65" ca="1" si="2">IF(I2&lt;=0, "EXPIRED",
 IF(I2&lt;=7, "DUE THIS WEEK",
 IF(I2&lt;=30, "DUE THIS MONTH", "ACTIVE")))</f>
        <v>DUE THIS MONTH</v>
      </c>
      <c r="K2" s="93" t="s">
        <v>395</v>
      </c>
    </row>
    <row r="3" spans="1:11" s="47" customFormat="1" ht="31.5" customHeight="1">
      <c r="A3" s="88">
        <v>2</v>
      </c>
      <c r="B3" s="88">
        <f>VLOOKUP(A3, COSTS!$I$7:$J$13, 2, FALSE)</f>
        <v>65</v>
      </c>
      <c r="C3" s="88" t="s">
        <v>207</v>
      </c>
      <c r="D3" s="89">
        <v>45997</v>
      </c>
      <c r="E3" s="89">
        <v>45997</v>
      </c>
      <c r="F3" s="90" t="s">
        <v>208</v>
      </c>
      <c r="G3" s="90" t="s">
        <v>209</v>
      </c>
      <c r="H3" s="91">
        <f t="shared" ca="1" si="0"/>
        <v>46020.437982060183</v>
      </c>
      <c r="I3" s="92">
        <f t="shared" ca="1" si="1"/>
        <v>-23.437982060182549</v>
      </c>
      <c r="J3" s="93" t="str">
        <f t="shared" ca="1" si="2"/>
        <v>EXPIRED</v>
      </c>
      <c r="K3" s="93" t="s">
        <v>395</v>
      </c>
    </row>
    <row r="4" spans="1:11" s="47" customFormat="1" ht="31.5" customHeight="1">
      <c r="A4" s="90">
        <v>1</v>
      </c>
      <c r="B4" s="88">
        <f>VLOOKUP(A4, COSTS!$I$7:$J$13, 2, FALSE)</f>
        <v>32</v>
      </c>
      <c r="C4" s="90" t="s">
        <v>62</v>
      </c>
      <c r="D4" s="89">
        <v>45995</v>
      </c>
      <c r="E4" s="89">
        <v>46026</v>
      </c>
      <c r="F4" s="90">
        <v>773368022</v>
      </c>
      <c r="G4" s="90" t="s">
        <v>373</v>
      </c>
      <c r="H4" s="91">
        <f t="shared" ca="1" si="0"/>
        <v>46020.437982060183</v>
      </c>
      <c r="I4" s="92">
        <f t="shared" ca="1" si="1"/>
        <v>5.5620179398174514</v>
      </c>
      <c r="J4" s="93" t="str">
        <f t="shared" ca="1" si="2"/>
        <v>DUE THIS WEEK</v>
      </c>
      <c r="K4" s="93" t="s">
        <v>395</v>
      </c>
    </row>
    <row r="5" spans="1:11" s="47" customFormat="1" ht="31.5" customHeight="1">
      <c r="A5" s="94">
        <v>1</v>
      </c>
      <c r="B5" s="88">
        <f>VLOOKUP(A5, COSTS!$I$7:$J$13, 2, FALSE)</f>
        <v>32</v>
      </c>
      <c r="C5" s="94" t="s">
        <v>95</v>
      </c>
      <c r="D5" s="95">
        <v>45993</v>
      </c>
      <c r="E5" s="95">
        <v>46024</v>
      </c>
      <c r="F5" s="96">
        <v>975201345</v>
      </c>
      <c r="G5" s="96" t="s">
        <v>96</v>
      </c>
      <c r="H5" s="91">
        <f t="shared" ca="1" si="0"/>
        <v>46020.437982060183</v>
      </c>
      <c r="I5" s="92">
        <f t="shared" ca="1" si="1"/>
        <v>3.5620179398174514</v>
      </c>
      <c r="J5" s="93" t="str">
        <f t="shared" ca="1" si="2"/>
        <v>DUE THIS WEEK</v>
      </c>
      <c r="K5" s="93" t="s">
        <v>395</v>
      </c>
    </row>
    <row r="6" spans="1:11" s="47" customFormat="1" ht="31.5" customHeight="1">
      <c r="A6" s="94">
        <v>1</v>
      </c>
      <c r="B6" s="88">
        <f>VLOOKUP(A6, COSTS!$I$7:$J$13, 2, FALSE)</f>
        <v>32</v>
      </c>
      <c r="C6" s="94" t="s">
        <v>58</v>
      </c>
      <c r="D6" s="95">
        <v>45990</v>
      </c>
      <c r="E6" s="95">
        <v>46020</v>
      </c>
      <c r="F6" s="96">
        <v>964668081</v>
      </c>
      <c r="G6" s="90" t="s">
        <v>59</v>
      </c>
      <c r="H6" s="91">
        <f t="shared" ca="1" si="0"/>
        <v>46020.437982060183</v>
      </c>
      <c r="I6" s="92">
        <f t="shared" ca="1" si="1"/>
        <v>-0.43798206018254859</v>
      </c>
      <c r="J6" s="93" t="str">
        <f t="shared" ca="1" si="2"/>
        <v>EXPIRED</v>
      </c>
      <c r="K6" s="93" t="s">
        <v>394</v>
      </c>
    </row>
    <row r="7" spans="1:11" s="47" customFormat="1" ht="31.5" customHeight="1">
      <c r="A7" s="97">
        <v>1</v>
      </c>
      <c r="B7" s="88">
        <f>VLOOKUP(A7, COSTS!$I$7:$J$13, 2, FALSE)</f>
        <v>32</v>
      </c>
      <c r="C7" s="97" t="s">
        <v>183</v>
      </c>
      <c r="D7" s="98">
        <v>45990</v>
      </c>
      <c r="E7" s="98">
        <v>46020</v>
      </c>
      <c r="F7" s="99">
        <v>957985331</v>
      </c>
      <c r="G7" s="99" t="s">
        <v>211</v>
      </c>
      <c r="H7" s="91">
        <f t="shared" ca="1" si="0"/>
        <v>46020.437982060183</v>
      </c>
      <c r="I7" s="92">
        <f t="shared" ca="1" si="1"/>
        <v>-0.43798206018254859</v>
      </c>
      <c r="J7" s="93" t="str">
        <f t="shared" ca="1" si="2"/>
        <v>EXPIRED</v>
      </c>
      <c r="K7" s="93" t="s">
        <v>394</v>
      </c>
    </row>
    <row r="8" spans="1:11" s="47" customFormat="1" ht="31.5" customHeight="1">
      <c r="A8" s="88">
        <v>1</v>
      </c>
      <c r="B8" s="88">
        <f>VLOOKUP(A8, COSTS!$I$7:$J$13, 2, FALSE)</f>
        <v>32</v>
      </c>
      <c r="C8" s="88" t="s">
        <v>58</v>
      </c>
      <c r="D8" s="89">
        <v>45990</v>
      </c>
      <c r="E8" s="100">
        <v>46020</v>
      </c>
      <c r="F8" s="90">
        <v>978490644</v>
      </c>
      <c r="G8" s="90" t="s">
        <v>296</v>
      </c>
      <c r="H8" s="91">
        <f t="shared" ca="1" si="0"/>
        <v>46020.437982060183</v>
      </c>
      <c r="I8" s="92">
        <f t="shared" ca="1" si="1"/>
        <v>-0.43798206018254859</v>
      </c>
      <c r="J8" s="93" t="str">
        <f t="shared" ca="1" si="2"/>
        <v>EXPIRED</v>
      </c>
      <c r="K8" s="93" t="s">
        <v>394</v>
      </c>
    </row>
    <row r="9" spans="1:11" s="47" customFormat="1" ht="31.5" customHeight="1">
      <c r="A9" s="88">
        <v>1</v>
      </c>
      <c r="B9" s="88">
        <f>VLOOKUP(A9, COSTS!$I$7:$J$13, 2, FALSE)</f>
        <v>32</v>
      </c>
      <c r="C9" s="88" t="s">
        <v>19</v>
      </c>
      <c r="D9" s="89">
        <v>45990</v>
      </c>
      <c r="E9" s="100">
        <v>46020</v>
      </c>
      <c r="F9" s="90" t="s">
        <v>324</v>
      </c>
      <c r="G9" s="90" t="s">
        <v>325</v>
      </c>
      <c r="H9" s="91">
        <f t="shared" ca="1" si="0"/>
        <v>46020.437982060183</v>
      </c>
      <c r="I9" s="92">
        <f t="shared" ca="1" si="1"/>
        <v>-0.43798206018254859</v>
      </c>
      <c r="J9" s="93" t="str">
        <f t="shared" ca="1" si="2"/>
        <v>EXPIRED</v>
      </c>
      <c r="K9" s="93" t="s">
        <v>394</v>
      </c>
    </row>
    <row r="10" spans="1:11" s="47" customFormat="1" ht="31.5" customHeight="1">
      <c r="A10" s="88">
        <v>1</v>
      </c>
      <c r="B10" s="88">
        <f>VLOOKUP(A10, COSTS!$I$7:$J$13, 2, FALSE)</f>
        <v>32</v>
      </c>
      <c r="C10" s="88" t="s">
        <v>234</v>
      </c>
      <c r="D10" s="89">
        <v>45989</v>
      </c>
      <c r="E10" s="100">
        <v>46019</v>
      </c>
      <c r="F10" s="90">
        <v>767070164</v>
      </c>
      <c r="G10" s="90" t="s">
        <v>326</v>
      </c>
      <c r="H10" s="91">
        <f t="shared" ca="1" si="0"/>
        <v>46020.437982060183</v>
      </c>
      <c r="I10" s="92">
        <f t="shared" ca="1" si="1"/>
        <v>-1.4379820601825486</v>
      </c>
      <c r="J10" s="93" t="str">
        <f t="shared" ca="1" si="2"/>
        <v>EXPIRED</v>
      </c>
      <c r="K10" s="93" t="s">
        <v>394</v>
      </c>
    </row>
    <row r="11" spans="1:11" s="47" customFormat="1" ht="31.5" customHeight="1">
      <c r="A11" s="97">
        <v>3</v>
      </c>
      <c r="B11" s="88">
        <f>VLOOKUP(A11, COSTS!$I$7:$J$13, 2, FALSE)</f>
        <v>100</v>
      </c>
      <c r="C11" s="97"/>
      <c r="D11" s="98">
        <v>45989</v>
      </c>
      <c r="E11" s="98">
        <v>45716</v>
      </c>
      <c r="F11" s="99">
        <v>978478417</v>
      </c>
      <c r="G11" s="99" t="s">
        <v>171</v>
      </c>
      <c r="H11" s="91">
        <f t="shared" ca="1" si="0"/>
        <v>46020.437982060183</v>
      </c>
      <c r="I11" s="92">
        <f t="shared" ca="1" si="1"/>
        <v>-304.43798206018255</v>
      </c>
      <c r="J11" s="93" t="str">
        <f t="shared" ca="1" si="2"/>
        <v>EXPIRED</v>
      </c>
      <c r="K11" s="93" t="s">
        <v>394</v>
      </c>
    </row>
    <row r="12" spans="1:11" s="47" customFormat="1" ht="31.5" customHeight="1">
      <c r="A12" s="88">
        <v>3</v>
      </c>
      <c r="B12" s="88">
        <f>VLOOKUP(A12, COSTS!$I$7:$J$13, 2, FALSE)</f>
        <v>100</v>
      </c>
      <c r="C12" s="88" t="s">
        <v>183</v>
      </c>
      <c r="D12" s="89">
        <v>45989</v>
      </c>
      <c r="E12" s="100">
        <v>46081</v>
      </c>
      <c r="F12" s="90" t="s">
        <v>193</v>
      </c>
      <c r="G12" s="90" t="s">
        <v>194</v>
      </c>
      <c r="H12" s="91">
        <f t="shared" ca="1" si="0"/>
        <v>46020.437982060183</v>
      </c>
      <c r="I12" s="92">
        <f t="shared" ca="1" si="1"/>
        <v>60.562017939817451</v>
      </c>
      <c r="J12" s="93" t="str">
        <f t="shared" ca="1" si="2"/>
        <v>ACTIVE</v>
      </c>
      <c r="K12" s="93" t="s">
        <v>394</v>
      </c>
    </row>
    <row r="13" spans="1:11" s="47" customFormat="1" ht="31.5" customHeight="1">
      <c r="A13" s="97">
        <v>2</v>
      </c>
      <c r="B13" s="88">
        <f>VLOOKUP(A13, COSTS!$I$7:$J$13, 2, FALSE)</f>
        <v>65</v>
      </c>
      <c r="C13" s="97" t="s">
        <v>11</v>
      </c>
      <c r="D13" s="98">
        <v>45989</v>
      </c>
      <c r="E13" s="98">
        <v>46050</v>
      </c>
      <c r="F13" s="99" t="s">
        <v>12</v>
      </c>
      <c r="G13" s="99" t="s">
        <v>13</v>
      </c>
      <c r="H13" s="91">
        <f t="shared" ca="1" si="0"/>
        <v>46020.437982060183</v>
      </c>
      <c r="I13" s="92">
        <f t="shared" ca="1" si="1"/>
        <v>29.562017939817451</v>
      </c>
      <c r="J13" s="93" t="str">
        <f t="shared" ca="1" si="2"/>
        <v>DUE THIS MONTH</v>
      </c>
      <c r="K13" s="93" t="s">
        <v>394</v>
      </c>
    </row>
    <row r="14" spans="1:11" s="47" customFormat="1" ht="31.5" customHeight="1">
      <c r="A14" s="94">
        <v>2</v>
      </c>
      <c r="B14" s="88">
        <f>VLOOKUP(A14, COSTS!$I$7:$J$13, 2, FALSE)</f>
        <v>65</v>
      </c>
      <c r="C14" s="94"/>
      <c r="D14" s="95">
        <v>45989</v>
      </c>
      <c r="E14" s="95">
        <v>46050</v>
      </c>
      <c r="F14" s="96">
        <v>961817836</v>
      </c>
      <c r="G14" s="96" t="s">
        <v>192</v>
      </c>
      <c r="H14" s="91">
        <f t="shared" ca="1" si="0"/>
        <v>46020.437982060183</v>
      </c>
      <c r="I14" s="92">
        <f t="shared" ca="1" si="1"/>
        <v>29.562017939817451</v>
      </c>
      <c r="J14" s="93" t="str">
        <f t="shared" ca="1" si="2"/>
        <v>DUE THIS MONTH</v>
      </c>
      <c r="K14" s="93" t="s">
        <v>394</v>
      </c>
    </row>
    <row r="15" spans="1:11" s="47" customFormat="1" ht="31.5" customHeight="1">
      <c r="A15" s="94">
        <v>12</v>
      </c>
      <c r="B15" s="88">
        <f>VLOOKUP(A15, COSTS!$I$7:$J$13, 2, FALSE)</f>
        <v>225</v>
      </c>
      <c r="C15" s="94" t="s">
        <v>197</v>
      </c>
      <c r="D15" s="95">
        <v>45988</v>
      </c>
      <c r="E15" s="95">
        <v>46353</v>
      </c>
      <c r="F15" s="96">
        <v>973208399</v>
      </c>
      <c r="G15" s="96" t="s">
        <v>198</v>
      </c>
      <c r="H15" s="91">
        <f t="shared" ca="1" si="0"/>
        <v>46020.437982060183</v>
      </c>
      <c r="I15" s="92">
        <f t="shared" ca="1" si="1"/>
        <v>332.56201793981745</v>
      </c>
      <c r="J15" s="93" t="str">
        <f t="shared" ca="1" si="2"/>
        <v>ACTIVE</v>
      </c>
      <c r="K15" s="93" t="s">
        <v>394</v>
      </c>
    </row>
    <row r="16" spans="1:11" s="47" customFormat="1" ht="31.5" customHeight="1">
      <c r="A16" s="94">
        <v>2</v>
      </c>
      <c r="B16" s="88">
        <f>VLOOKUP(A16, COSTS!$I$7:$J$13, 2, FALSE)</f>
        <v>65</v>
      </c>
      <c r="C16" s="94" t="s">
        <v>6</v>
      </c>
      <c r="D16" s="95">
        <v>45988</v>
      </c>
      <c r="E16" s="95">
        <v>46049</v>
      </c>
      <c r="F16" s="96" t="s">
        <v>152</v>
      </c>
      <c r="G16" s="96" t="s">
        <v>153</v>
      </c>
      <c r="H16" s="91">
        <f t="shared" ca="1" si="0"/>
        <v>46020.437982060183</v>
      </c>
      <c r="I16" s="92">
        <f t="shared" ca="1" si="1"/>
        <v>28.562017939817451</v>
      </c>
      <c r="J16" s="93" t="str">
        <f t="shared" ca="1" si="2"/>
        <v>DUE THIS MONTH</v>
      </c>
      <c r="K16" s="93" t="s">
        <v>394</v>
      </c>
    </row>
    <row r="17" spans="1:11" s="47" customFormat="1" ht="31.5" customHeight="1">
      <c r="A17" s="94">
        <v>1</v>
      </c>
      <c r="B17" s="88">
        <f>VLOOKUP(A17, COSTS!$I$7:$J$13, 2, FALSE)</f>
        <v>32</v>
      </c>
      <c r="C17" s="94" t="s">
        <v>28</v>
      </c>
      <c r="D17" s="101">
        <v>45988</v>
      </c>
      <c r="E17" s="95">
        <v>46018</v>
      </c>
      <c r="F17" s="96">
        <v>260776149435</v>
      </c>
      <c r="G17" s="96" t="s">
        <v>29</v>
      </c>
      <c r="H17" s="91">
        <f t="shared" ca="1" si="0"/>
        <v>46020.437982060183</v>
      </c>
      <c r="I17" s="92">
        <f t="shared" ca="1" si="1"/>
        <v>-2.4379820601825486</v>
      </c>
      <c r="J17" s="93" t="str">
        <f t="shared" ca="1" si="2"/>
        <v>EXPIRED</v>
      </c>
      <c r="K17" s="93" t="s">
        <v>394</v>
      </c>
    </row>
    <row r="18" spans="1:11" s="47" customFormat="1" ht="31.5" customHeight="1">
      <c r="A18" s="97">
        <v>1</v>
      </c>
      <c r="B18" s="88">
        <f>VLOOKUP(A18, COSTS!$I$7:$J$13, 2, FALSE)</f>
        <v>32</v>
      </c>
      <c r="C18" s="97" t="s">
        <v>114</v>
      </c>
      <c r="D18" s="98">
        <v>45987</v>
      </c>
      <c r="E18" s="98">
        <v>46017</v>
      </c>
      <c r="F18" s="99">
        <v>960161606</v>
      </c>
      <c r="G18" s="99" t="s">
        <v>166</v>
      </c>
      <c r="H18" s="91">
        <f t="shared" ca="1" si="0"/>
        <v>46020.437982060183</v>
      </c>
      <c r="I18" s="92">
        <f t="shared" ca="1" si="1"/>
        <v>-3.4379820601825486</v>
      </c>
      <c r="J18" s="93" t="str">
        <f t="shared" ca="1" si="2"/>
        <v>EXPIRED</v>
      </c>
      <c r="K18" s="93" t="s">
        <v>394</v>
      </c>
    </row>
    <row r="19" spans="1:11" s="47" customFormat="1" ht="31.5" customHeight="1">
      <c r="A19" s="88">
        <v>1</v>
      </c>
      <c r="B19" s="88">
        <f>VLOOKUP(A19, COSTS!$I$7:$J$13, 2, FALSE)</f>
        <v>32</v>
      </c>
      <c r="C19" s="88" t="s">
        <v>70</v>
      </c>
      <c r="D19" s="89">
        <v>45987</v>
      </c>
      <c r="E19" s="89">
        <v>46017</v>
      </c>
      <c r="F19" s="90">
        <f>260770773549</f>
        <v>260770773549</v>
      </c>
      <c r="G19" s="90" t="s">
        <v>173</v>
      </c>
      <c r="H19" s="91">
        <f t="shared" ca="1" si="0"/>
        <v>46020.437982060183</v>
      </c>
      <c r="I19" s="92">
        <f t="shared" ca="1" si="1"/>
        <v>-3.4379820601825486</v>
      </c>
      <c r="J19" s="93" t="str">
        <f t="shared" ca="1" si="2"/>
        <v>EXPIRED</v>
      </c>
      <c r="K19" s="93" t="s">
        <v>394</v>
      </c>
    </row>
    <row r="20" spans="1:11" s="47" customFormat="1" ht="31.5" customHeight="1">
      <c r="A20" s="94">
        <v>2</v>
      </c>
      <c r="B20" s="88">
        <f>VLOOKUP(A20, COSTS!$I$7:$J$13, 2, FALSE)</f>
        <v>65</v>
      </c>
      <c r="C20" s="94" t="s">
        <v>114</v>
      </c>
      <c r="D20" s="95">
        <v>45986</v>
      </c>
      <c r="E20" s="95">
        <v>46047</v>
      </c>
      <c r="F20" s="96">
        <v>972371009</v>
      </c>
      <c r="G20" s="96" t="s">
        <v>115</v>
      </c>
      <c r="H20" s="91">
        <f t="shared" ca="1" si="0"/>
        <v>46020.437982060183</v>
      </c>
      <c r="I20" s="92">
        <f t="shared" ca="1" si="1"/>
        <v>26.562017939817451</v>
      </c>
      <c r="J20" s="93" t="str">
        <f t="shared" ca="1" si="2"/>
        <v>DUE THIS MONTH</v>
      </c>
      <c r="K20" s="93" t="s">
        <v>394</v>
      </c>
    </row>
    <row r="21" spans="1:11" s="47" customFormat="1" ht="31.5" customHeight="1">
      <c r="A21" s="88">
        <v>2</v>
      </c>
      <c r="B21" s="88">
        <f>VLOOKUP(A21, COSTS!$I$7:$J$13, 2, FALSE)</f>
        <v>65</v>
      </c>
      <c r="C21" s="88" t="s">
        <v>143</v>
      </c>
      <c r="D21" s="89">
        <v>45986</v>
      </c>
      <c r="E21" s="89">
        <v>46047</v>
      </c>
      <c r="F21" s="90">
        <v>771993800</v>
      </c>
      <c r="G21" s="90" t="s">
        <v>144</v>
      </c>
      <c r="H21" s="91">
        <f t="shared" ca="1" si="0"/>
        <v>46020.437982060183</v>
      </c>
      <c r="I21" s="92">
        <f t="shared" ca="1" si="1"/>
        <v>26.562017939817451</v>
      </c>
      <c r="J21" s="93" t="str">
        <f t="shared" ca="1" si="2"/>
        <v>DUE THIS MONTH</v>
      </c>
      <c r="K21" s="93" t="s">
        <v>394</v>
      </c>
    </row>
    <row r="22" spans="1:11" s="47" customFormat="1" ht="31.5" customHeight="1">
      <c r="A22" s="90">
        <v>2</v>
      </c>
      <c r="B22" s="88">
        <f>VLOOKUP(A22, COSTS!$I$7:$J$13, 2, FALSE)</f>
        <v>65</v>
      </c>
      <c r="C22" s="90" t="s">
        <v>371</v>
      </c>
      <c r="D22" s="100">
        <v>45985</v>
      </c>
      <c r="E22" s="89">
        <v>46077</v>
      </c>
      <c r="F22" s="90">
        <v>975741666</v>
      </c>
      <c r="G22" s="90" t="s">
        <v>372</v>
      </c>
      <c r="H22" s="91">
        <f t="shared" ca="1" si="0"/>
        <v>46020.437982060183</v>
      </c>
      <c r="I22" s="92">
        <f t="shared" ca="1" si="1"/>
        <v>56.562017939817451</v>
      </c>
      <c r="J22" s="93" t="str">
        <f t="shared" ca="1" si="2"/>
        <v>ACTIVE</v>
      </c>
      <c r="K22" s="93" t="s">
        <v>394</v>
      </c>
    </row>
    <row r="23" spans="1:11" s="47" customFormat="1" ht="31.5" customHeight="1">
      <c r="A23" s="97">
        <v>2</v>
      </c>
      <c r="B23" s="88">
        <f>VLOOKUP(A23, COSTS!$I$7:$J$13, 2, FALSE)</f>
        <v>65</v>
      </c>
      <c r="C23" s="97" t="s">
        <v>99</v>
      </c>
      <c r="D23" s="98">
        <v>45985</v>
      </c>
      <c r="E23" s="98">
        <v>46046</v>
      </c>
      <c r="F23" s="99" t="s">
        <v>100</v>
      </c>
      <c r="G23" s="99" t="s">
        <v>101</v>
      </c>
      <c r="H23" s="91">
        <f t="shared" ca="1" si="0"/>
        <v>46020.437982060183</v>
      </c>
      <c r="I23" s="92">
        <f t="shared" ca="1" si="1"/>
        <v>25.562017939817451</v>
      </c>
      <c r="J23" s="93" t="str">
        <f t="shared" ca="1" si="2"/>
        <v>DUE THIS MONTH</v>
      </c>
      <c r="K23" s="93" t="s">
        <v>394</v>
      </c>
    </row>
    <row r="24" spans="1:11" s="47" customFormat="1" ht="31.5" customHeight="1">
      <c r="A24" s="88">
        <v>2</v>
      </c>
      <c r="B24" s="88">
        <f>VLOOKUP(A24, COSTS!$I$7:$J$13, 2, FALSE)</f>
        <v>65</v>
      </c>
      <c r="C24" s="88"/>
      <c r="D24" s="89">
        <v>45985</v>
      </c>
      <c r="E24" s="89">
        <v>46046</v>
      </c>
      <c r="F24" s="90">
        <v>973724846</v>
      </c>
      <c r="G24" s="90" t="s">
        <v>293</v>
      </c>
      <c r="H24" s="91">
        <f t="shared" ca="1" si="0"/>
        <v>46020.437982060183</v>
      </c>
      <c r="I24" s="92">
        <f t="shared" ca="1" si="1"/>
        <v>25.562017939817451</v>
      </c>
      <c r="J24" s="93" t="str">
        <f t="shared" ca="1" si="2"/>
        <v>DUE THIS MONTH</v>
      </c>
      <c r="K24" s="93" t="s">
        <v>394</v>
      </c>
    </row>
    <row r="25" spans="1:11" s="47" customFormat="1" ht="31.5" customHeight="1">
      <c r="A25" s="90">
        <v>3</v>
      </c>
      <c r="B25" s="88">
        <f>VLOOKUP(A25, COSTS!$I$7:$J$13, 2, FALSE)</f>
        <v>100</v>
      </c>
      <c r="C25" s="90" t="s">
        <v>92</v>
      </c>
      <c r="D25" s="100">
        <v>45984</v>
      </c>
      <c r="E25" s="89">
        <v>46076</v>
      </c>
      <c r="F25" s="90">
        <v>776552506</v>
      </c>
      <c r="G25" s="90" t="s">
        <v>370</v>
      </c>
      <c r="H25" s="91">
        <f t="shared" ca="1" si="0"/>
        <v>46020.437982060183</v>
      </c>
      <c r="I25" s="92">
        <f t="shared" ca="1" si="1"/>
        <v>55.562017939817451</v>
      </c>
      <c r="J25" s="93" t="str">
        <f t="shared" ca="1" si="2"/>
        <v>ACTIVE</v>
      </c>
      <c r="K25" s="93" t="s">
        <v>394</v>
      </c>
    </row>
    <row r="26" spans="1:11" s="47" customFormat="1" ht="31.5" customHeight="1">
      <c r="A26" s="97">
        <v>2</v>
      </c>
      <c r="B26" s="88">
        <f>VLOOKUP(A26, COSTS!$I$7:$J$13, 2, FALSE)</f>
        <v>65</v>
      </c>
      <c r="C26" s="97" t="s">
        <v>74</v>
      </c>
      <c r="D26" s="98">
        <v>45984</v>
      </c>
      <c r="E26" s="98">
        <v>46045</v>
      </c>
      <c r="F26" s="99">
        <v>954049056</v>
      </c>
      <c r="G26" s="99" t="s">
        <v>75</v>
      </c>
      <c r="H26" s="91">
        <f t="shared" ca="1" si="0"/>
        <v>46020.437982060183</v>
      </c>
      <c r="I26" s="92">
        <f t="shared" ca="1" si="1"/>
        <v>24.562017939817451</v>
      </c>
      <c r="J26" s="93" t="str">
        <f t="shared" ca="1" si="2"/>
        <v>DUE THIS MONTH</v>
      </c>
      <c r="K26" s="93" t="s">
        <v>394</v>
      </c>
    </row>
    <row r="27" spans="1:11" s="47" customFormat="1" ht="31.5" customHeight="1">
      <c r="A27" s="88">
        <v>1</v>
      </c>
      <c r="B27" s="88">
        <f>VLOOKUP(A27, COSTS!$I$7:$J$13, 2, FALSE)</f>
        <v>32</v>
      </c>
      <c r="C27" s="88" t="s">
        <v>319</v>
      </c>
      <c r="D27" s="89">
        <v>45984</v>
      </c>
      <c r="E27" s="100">
        <v>46014</v>
      </c>
      <c r="F27" s="90" t="s">
        <v>334</v>
      </c>
      <c r="G27" s="90" t="s">
        <v>335</v>
      </c>
      <c r="H27" s="91">
        <f t="shared" ca="1" si="0"/>
        <v>46020.437982060183</v>
      </c>
      <c r="I27" s="92">
        <f t="shared" ca="1" si="1"/>
        <v>-6.4379820601825486</v>
      </c>
      <c r="J27" s="93" t="str">
        <f t="shared" ca="1" si="2"/>
        <v>EXPIRED</v>
      </c>
      <c r="K27" s="93" t="s">
        <v>394</v>
      </c>
    </row>
    <row r="28" spans="1:11" s="47" customFormat="1" ht="31.5" customHeight="1">
      <c r="A28" s="97">
        <v>3</v>
      </c>
      <c r="B28" s="88">
        <f>VLOOKUP(A28, COSTS!$I$7:$J$13, 2, FALSE)</f>
        <v>100</v>
      </c>
      <c r="C28" s="97" t="s">
        <v>138</v>
      </c>
      <c r="D28" s="98">
        <v>45982</v>
      </c>
      <c r="E28" s="98">
        <v>46102</v>
      </c>
      <c r="F28" s="99">
        <v>772734094</v>
      </c>
      <c r="G28" s="99" t="s">
        <v>139</v>
      </c>
      <c r="H28" s="91">
        <f t="shared" ca="1" si="0"/>
        <v>46020.437982060183</v>
      </c>
      <c r="I28" s="92">
        <f t="shared" ca="1" si="1"/>
        <v>81.562017939817451</v>
      </c>
      <c r="J28" s="93" t="str">
        <f t="shared" ca="1" si="2"/>
        <v>ACTIVE</v>
      </c>
      <c r="K28" s="93" t="s">
        <v>394</v>
      </c>
    </row>
    <row r="29" spans="1:11" s="47" customFormat="1" ht="31.5" customHeight="1">
      <c r="A29" s="97">
        <v>2</v>
      </c>
      <c r="B29" s="88">
        <f>VLOOKUP(A29, COSTS!$I$7:$J$13, 2, FALSE)</f>
        <v>65</v>
      </c>
      <c r="C29" s="97" t="s">
        <v>6</v>
      </c>
      <c r="D29" s="102">
        <v>45982</v>
      </c>
      <c r="E29" s="98">
        <v>46043</v>
      </c>
      <c r="F29" s="99">
        <v>967990940</v>
      </c>
      <c r="G29" s="99" t="s">
        <v>7</v>
      </c>
      <c r="H29" s="91">
        <f t="shared" ca="1" si="0"/>
        <v>46020.437982060183</v>
      </c>
      <c r="I29" s="92">
        <f t="shared" ca="1" si="1"/>
        <v>22.562017939817451</v>
      </c>
      <c r="J29" s="93" t="str">
        <f t="shared" ca="1" si="2"/>
        <v>DUE THIS MONTH</v>
      </c>
      <c r="K29" s="93" t="s">
        <v>394</v>
      </c>
    </row>
    <row r="30" spans="1:11" s="47" customFormat="1" ht="31.5" customHeight="1">
      <c r="A30" s="88">
        <v>1</v>
      </c>
      <c r="B30" s="88">
        <f>VLOOKUP(A30, COSTS!$I$7:$J$13, 2, FALSE)</f>
        <v>32</v>
      </c>
      <c r="C30" s="88" t="s">
        <v>199</v>
      </c>
      <c r="D30" s="89">
        <v>45982</v>
      </c>
      <c r="E30" s="89">
        <v>46012</v>
      </c>
      <c r="F30" s="90" t="s">
        <v>200</v>
      </c>
      <c r="G30" s="90" t="s">
        <v>201</v>
      </c>
      <c r="H30" s="91">
        <f t="shared" ca="1" si="0"/>
        <v>46020.437982060183</v>
      </c>
      <c r="I30" s="92">
        <f t="shared" ca="1" si="1"/>
        <v>-8.4379820601825486</v>
      </c>
      <c r="J30" s="93" t="str">
        <f t="shared" ca="1" si="2"/>
        <v>EXPIRED</v>
      </c>
      <c r="K30" s="93" t="s">
        <v>394</v>
      </c>
    </row>
    <row r="31" spans="1:11" s="47" customFormat="1" ht="31.5" customHeight="1">
      <c r="A31" s="88">
        <v>3</v>
      </c>
      <c r="B31" s="88">
        <f>VLOOKUP(A31, COSTS!$I$7:$J$13, 2, FALSE)</f>
        <v>100</v>
      </c>
      <c r="C31" s="88" t="s">
        <v>6</v>
      </c>
      <c r="D31" s="89">
        <v>45981</v>
      </c>
      <c r="E31" s="89">
        <v>46073</v>
      </c>
      <c r="F31" s="90">
        <v>770438283</v>
      </c>
      <c r="G31" s="90" t="s">
        <v>258</v>
      </c>
      <c r="H31" s="91">
        <f t="shared" ca="1" si="0"/>
        <v>46020.437982060183</v>
      </c>
      <c r="I31" s="92">
        <f t="shared" ca="1" si="1"/>
        <v>52.562017939817451</v>
      </c>
      <c r="J31" s="93" t="str">
        <f t="shared" ca="1" si="2"/>
        <v>ACTIVE</v>
      </c>
      <c r="K31" s="93" t="s">
        <v>394</v>
      </c>
    </row>
    <row r="32" spans="1:11" s="47" customFormat="1" ht="31.5" customHeight="1">
      <c r="A32" s="88">
        <v>2</v>
      </c>
      <c r="B32" s="88">
        <f>VLOOKUP(A32, COSTS!$I$7:$J$13, 2, FALSE)</f>
        <v>65</v>
      </c>
      <c r="C32" s="88" t="s">
        <v>110</v>
      </c>
      <c r="D32" s="100">
        <v>45978</v>
      </c>
      <c r="E32" s="89">
        <v>46070</v>
      </c>
      <c r="F32" s="90" t="s">
        <v>364</v>
      </c>
      <c r="G32" s="90" t="s">
        <v>365</v>
      </c>
      <c r="H32" s="91">
        <f t="shared" ca="1" si="0"/>
        <v>46020.437982060183</v>
      </c>
      <c r="I32" s="92">
        <f t="shared" ca="1" si="1"/>
        <v>49.562017939817451</v>
      </c>
      <c r="J32" s="93" t="str">
        <f t="shared" ca="1" si="2"/>
        <v>ACTIVE</v>
      </c>
      <c r="K32" s="93" t="s">
        <v>394</v>
      </c>
    </row>
    <row r="33" spans="1:11" s="47" customFormat="1" ht="31.5" customHeight="1">
      <c r="A33" s="88">
        <v>2</v>
      </c>
      <c r="B33" s="88">
        <f>VLOOKUP(A33, COSTS!$I$7:$J$13, 2, FALSE)</f>
        <v>65</v>
      </c>
      <c r="C33" s="88" t="s">
        <v>361</v>
      </c>
      <c r="D33" s="100">
        <v>45978</v>
      </c>
      <c r="E33" s="89">
        <v>46039</v>
      </c>
      <c r="F33" s="90" t="s">
        <v>366</v>
      </c>
      <c r="G33" s="90" t="s">
        <v>367</v>
      </c>
      <c r="H33" s="91">
        <f t="shared" ca="1" si="0"/>
        <v>46020.437982060183</v>
      </c>
      <c r="I33" s="92">
        <f t="shared" ca="1" si="1"/>
        <v>18.562017939817451</v>
      </c>
      <c r="J33" s="93" t="str">
        <f t="shared" ca="1" si="2"/>
        <v>DUE THIS MONTH</v>
      </c>
      <c r="K33" s="93" t="s">
        <v>394</v>
      </c>
    </row>
    <row r="34" spans="1:11" s="47" customFormat="1" ht="31.5" customHeight="1">
      <c r="A34" s="94">
        <v>1</v>
      </c>
      <c r="B34" s="88">
        <f>VLOOKUP(A34, COSTS!$I$7:$J$13, 2, FALSE)</f>
        <v>32</v>
      </c>
      <c r="C34" s="94" t="s">
        <v>127</v>
      </c>
      <c r="D34" s="95">
        <v>45978</v>
      </c>
      <c r="E34" s="95">
        <v>46008</v>
      </c>
      <c r="F34" s="96">
        <v>761673610</v>
      </c>
      <c r="G34" s="96" t="s">
        <v>128</v>
      </c>
      <c r="H34" s="91">
        <f t="shared" ca="1" si="0"/>
        <v>46020.437982060183</v>
      </c>
      <c r="I34" s="92">
        <f t="shared" ca="1" si="1"/>
        <v>-12.437982060182549</v>
      </c>
      <c r="J34" s="93" t="str">
        <f t="shared" ca="1" si="2"/>
        <v>EXPIRED</v>
      </c>
      <c r="K34" s="93" t="s">
        <v>394</v>
      </c>
    </row>
    <row r="35" spans="1:11" s="47" customFormat="1" ht="31.5" customHeight="1">
      <c r="A35" s="94">
        <v>1</v>
      </c>
      <c r="B35" s="88">
        <f>VLOOKUP(A35, COSTS!$I$7:$J$13, 2, FALSE)</f>
        <v>32</v>
      </c>
      <c r="C35" s="97" t="s">
        <v>195</v>
      </c>
      <c r="D35" s="95">
        <v>45978</v>
      </c>
      <c r="E35" s="95">
        <v>46008</v>
      </c>
      <c r="F35" s="96">
        <v>976433541</v>
      </c>
      <c r="G35" s="96" t="s">
        <v>196</v>
      </c>
      <c r="H35" s="91">
        <f t="shared" ca="1" si="0"/>
        <v>46020.437982060183</v>
      </c>
      <c r="I35" s="92">
        <f t="shared" ca="1" si="1"/>
        <v>-12.437982060182549</v>
      </c>
      <c r="J35" s="93" t="str">
        <f t="shared" ca="1" si="2"/>
        <v>EXPIRED</v>
      </c>
      <c r="K35" s="93" t="s">
        <v>394</v>
      </c>
    </row>
    <row r="36" spans="1:11" s="47" customFormat="1" ht="31.5" customHeight="1">
      <c r="A36" s="90">
        <v>1</v>
      </c>
      <c r="B36" s="88">
        <f>VLOOKUP(A36, COSTS!$I$7:$J$13, 2, FALSE)</f>
        <v>32</v>
      </c>
      <c r="C36" s="90" t="s">
        <v>361</v>
      </c>
      <c r="D36" s="100">
        <v>45978</v>
      </c>
      <c r="E36" s="100">
        <v>46008</v>
      </c>
      <c r="F36" s="90" t="s">
        <v>368</v>
      </c>
      <c r="G36" s="90" t="s">
        <v>369</v>
      </c>
      <c r="H36" s="91">
        <f t="shared" ca="1" si="0"/>
        <v>46020.437982060183</v>
      </c>
      <c r="I36" s="92">
        <f t="shared" ca="1" si="1"/>
        <v>-12.437982060182549</v>
      </c>
      <c r="J36" s="93" t="str">
        <f t="shared" ca="1" si="2"/>
        <v>EXPIRED</v>
      </c>
      <c r="K36" s="93" t="s">
        <v>394</v>
      </c>
    </row>
    <row r="37" spans="1:11" s="47" customFormat="1" ht="31.5" customHeight="1">
      <c r="A37" s="88">
        <v>2</v>
      </c>
      <c r="B37" s="88">
        <f>VLOOKUP(A37, COSTS!$I$7:$J$13, 2, FALSE)</f>
        <v>65</v>
      </c>
      <c r="C37" s="88" t="s">
        <v>79</v>
      </c>
      <c r="D37" s="89">
        <v>45977</v>
      </c>
      <c r="E37" s="89">
        <v>46038</v>
      </c>
      <c r="F37" s="90" t="s">
        <v>242</v>
      </c>
      <c r="G37" s="90" t="s">
        <v>243</v>
      </c>
      <c r="H37" s="91">
        <f t="shared" ca="1" si="0"/>
        <v>46020.437982060183</v>
      </c>
      <c r="I37" s="92">
        <f t="shared" ca="1" si="1"/>
        <v>17.562017939817451</v>
      </c>
      <c r="J37" s="93" t="str">
        <f t="shared" ca="1" si="2"/>
        <v>DUE THIS MONTH</v>
      </c>
      <c r="K37" s="93" t="s">
        <v>394</v>
      </c>
    </row>
    <row r="38" spans="1:11" s="47" customFormat="1" ht="31.5" customHeight="1">
      <c r="A38" s="88">
        <v>3</v>
      </c>
      <c r="B38" s="88">
        <f>VLOOKUP(A38, COSTS!$I$7:$J$13, 2, FALSE)</f>
        <v>100</v>
      </c>
      <c r="C38" s="88" t="s">
        <v>6</v>
      </c>
      <c r="D38" s="100">
        <v>45976</v>
      </c>
      <c r="E38" s="89">
        <v>46068</v>
      </c>
      <c r="F38" s="90" t="s">
        <v>357</v>
      </c>
      <c r="G38" s="90" t="s">
        <v>358</v>
      </c>
      <c r="H38" s="91">
        <f t="shared" ca="1" si="0"/>
        <v>46020.437982060183</v>
      </c>
      <c r="I38" s="92">
        <f t="shared" ca="1" si="1"/>
        <v>47.562017939817451</v>
      </c>
      <c r="J38" s="93" t="str">
        <f t="shared" ca="1" si="2"/>
        <v>ACTIVE</v>
      </c>
      <c r="K38" s="93" t="s">
        <v>394</v>
      </c>
    </row>
    <row r="39" spans="1:11" s="47" customFormat="1" ht="31.5" customHeight="1">
      <c r="A39" s="88">
        <v>2</v>
      </c>
      <c r="B39" s="88">
        <f>VLOOKUP(A39, COSTS!$I$7:$J$13, 2, FALSE)</f>
        <v>65</v>
      </c>
      <c r="C39" s="88" t="s">
        <v>150</v>
      </c>
      <c r="D39" s="89">
        <v>45976</v>
      </c>
      <c r="E39" s="89">
        <v>46037</v>
      </c>
      <c r="F39" s="90">
        <v>773740049</v>
      </c>
      <c r="G39" s="90" t="s">
        <v>151</v>
      </c>
      <c r="H39" s="91">
        <f t="shared" ca="1" si="0"/>
        <v>46020.437982060183</v>
      </c>
      <c r="I39" s="92">
        <f t="shared" ca="1" si="1"/>
        <v>16.562017939817451</v>
      </c>
      <c r="J39" s="93" t="str">
        <f t="shared" ca="1" si="2"/>
        <v>DUE THIS MONTH</v>
      </c>
      <c r="K39" s="93" t="s">
        <v>394</v>
      </c>
    </row>
    <row r="40" spans="1:11" s="47" customFormat="1" ht="31.5" customHeight="1">
      <c r="A40" s="88">
        <v>2</v>
      </c>
      <c r="B40" s="88">
        <f>VLOOKUP(A40, COSTS!$I$7:$J$13, 2, FALSE)</f>
        <v>65</v>
      </c>
      <c r="C40" s="88" t="s">
        <v>361</v>
      </c>
      <c r="D40" s="100">
        <v>45976</v>
      </c>
      <c r="E40" s="89">
        <v>46037</v>
      </c>
      <c r="F40" s="90" t="s">
        <v>362</v>
      </c>
      <c r="G40" s="90" t="s">
        <v>363</v>
      </c>
      <c r="H40" s="91">
        <f t="shared" ca="1" si="0"/>
        <v>46020.437982060183</v>
      </c>
      <c r="I40" s="92">
        <f t="shared" ca="1" si="1"/>
        <v>16.562017939817451</v>
      </c>
      <c r="J40" s="93" t="str">
        <f t="shared" ca="1" si="2"/>
        <v>DUE THIS MONTH</v>
      </c>
      <c r="K40" s="93" t="s">
        <v>394</v>
      </c>
    </row>
    <row r="41" spans="1:11" s="47" customFormat="1" ht="31.5" customHeight="1">
      <c r="A41" s="88">
        <v>1</v>
      </c>
      <c r="B41" s="88">
        <f>VLOOKUP(A41, COSTS!$I$7:$J$13, 2, FALSE)</f>
        <v>32</v>
      </c>
      <c r="C41" s="88" t="s">
        <v>77</v>
      </c>
      <c r="D41" s="100">
        <v>45976</v>
      </c>
      <c r="E41" s="100">
        <v>46006</v>
      </c>
      <c r="F41" s="90">
        <v>772691176</v>
      </c>
      <c r="G41" s="90" t="s">
        <v>356</v>
      </c>
      <c r="H41" s="91">
        <f t="shared" ca="1" si="0"/>
        <v>46020.437982060183</v>
      </c>
      <c r="I41" s="92">
        <f t="shared" ca="1" si="1"/>
        <v>-14.437982060182549</v>
      </c>
      <c r="J41" s="93" t="str">
        <f t="shared" ca="1" si="2"/>
        <v>EXPIRED</v>
      </c>
      <c r="K41" s="93" t="s">
        <v>394</v>
      </c>
    </row>
    <row r="42" spans="1:11" s="47" customFormat="1" ht="31.5" customHeight="1">
      <c r="A42" s="88">
        <v>1</v>
      </c>
      <c r="B42" s="88">
        <f>VLOOKUP(A42, COSTS!$I$7:$J$13, 2, FALSE)</f>
        <v>32</v>
      </c>
      <c r="C42" s="88" t="s">
        <v>79</v>
      </c>
      <c r="D42" s="100">
        <v>45976</v>
      </c>
      <c r="E42" s="100">
        <v>46006</v>
      </c>
      <c r="F42" s="90" t="s">
        <v>359</v>
      </c>
      <c r="G42" s="90" t="s">
        <v>360</v>
      </c>
      <c r="H42" s="91">
        <f t="shared" ca="1" si="0"/>
        <v>46020.437982060183</v>
      </c>
      <c r="I42" s="92">
        <f t="shared" ca="1" si="1"/>
        <v>-14.437982060182549</v>
      </c>
      <c r="J42" s="93" t="str">
        <f t="shared" ca="1" si="2"/>
        <v>EXPIRED</v>
      </c>
      <c r="K42" s="93" t="s">
        <v>394</v>
      </c>
    </row>
    <row r="43" spans="1:11" s="47" customFormat="1" ht="31.5" customHeight="1">
      <c r="A43" s="88">
        <v>6</v>
      </c>
      <c r="B43" s="88">
        <f>VLOOKUP(A43, COSTS!$I$7:$J$13, 2, FALSE)</f>
        <v>195</v>
      </c>
      <c r="C43" s="88" t="s">
        <v>88</v>
      </c>
      <c r="D43" s="100">
        <v>45975</v>
      </c>
      <c r="E43" s="89">
        <v>46067</v>
      </c>
      <c r="F43" s="90">
        <v>60779320678</v>
      </c>
      <c r="G43" s="90" t="s">
        <v>347</v>
      </c>
      <c r="H43" s="91">
        <f t="shared" ca="1" si="0"/>
        <v>46020.437982060183</v>
      </c>
      <c r="I43" s="92">
        <f t="shared" ca="1" si="1"/>
        <v>46.562017939817451</v>
      </c>
      <c r="J43" s="93" t="str">
        <f t="shared" ca="1" si="2"/>
        <v>ACTIVE</v>
      </c>
      <c r="K43" s="93" t="s">
        <v>394</v>
      </c>
    </row>
    <row r="44" spans="1:11" s="47" customFormat="1" ht="31.5" customHeight="1">
      <c r="A44" s="88">
        <v>2</v>
      </c>
      <c r="B44" s="88">
        <f>VLOOKUP(A44, COSTS!$I$7:$J$13, 2, FALSE)</f>
        <v>65</v>
      </c>
      <c r="C44" s="88" t="s">
        <v>215</v>
      </c>
      <c r="D44" s="100">
        <v>45975</v>
      </c>
      <c r="E44" s="89">
        <v>46036</v>
      </c>
      <c r="F44" s="90" t="s">
        <v>354</v>
      </c>
      <c r="G44" s="90" t="s">
        <v>355</v>
      </c>
      <c r="H44" s="91">
        <f t="shared" ca="1" si="0"/>
        <v>46020.437982060183</v>
      </c>
      <c r="I44" s="92">
        <f t="shared" ca="1" si="1"/>
        <v>15.562017939817451</v>
      </c>
      <c r="J44" s="93" t="str">
        <f t="shared" ca="1" si="2"/>
        <v>DUE THIS MONTH</v>
      </c>
      <c r="K44" s="93" t="s">
        <v>394</v>
      </c>
    </row>
    <row r="45" spans="1:11" s="47" customFormat="1" ht="31.5" customHeight="1">
      <c r="A45" s="97">
        <v>1</v>
      </c>
      <c r="B45" s="88">
        <f>VLOOKUP(A45, COSTS!$I$7:$J$13, 2, FALSE)</f>
        <v>32</v>
      </c>
      <c r="C45" s="97"/>
      <c r="D45" s="98">
        <v>45975</v>
      </c>
      <c r="E45" s="98">
        <v>46005</v>
      </c>
      <c r="F45" s="99" t="s">
        <v>164</v>
      </c>
      <c r="G45" s="99" t="s">
        <v>165</v>
      </c>
      <c r="H45" s="91">
        <f t="shared" ca="1" si="0"/>
        <v>46020.437982060183</v>
      </c>
      <c r="I45" s="92">
        <f t="shared" ca="1" si="1"/>
        <v>-15.437982060182549</v>
      </c>
      <c r="J45" s="93" t="str">
        <f t="shared" ca="1" si="2"/>
        <v>EXPIRED</v>
      </c>
      <c r="K45" s="93" t="s">
        <v>394</v>
      </c>
    </row>
    <row r="46" spans="1:11" s="47" customFormat="1" ht="31.5" customHeight="1">
      <c r="A46" s="88">
        <v>3</v>
      </c>
      <c r="B46" s="88">
        <f>VLOOKUP(A46, COSTS!$I$7:$J$13, 2, FALSE)</f>
        <v>100</v>
      </c>
      <c r="C46" s="88" t="s">
        <v>344</v>
      </c>
      <c r="D46" s="100">
        <v>45974</v>
      </c>
      <c r="E46" s="89">
        <v>46035</v>
      </c>
      <c r="F46" s="90">
        <v>774967746</v>
      </c>
      <c r="G46" s="90" t="s">
        <v>353</v>
      </c>
      <c r="H46" s="91">
        <f t="shared" ca="1" si="0"/>
        <v>46020.437982060183</v>
      </c>
      <c r="I46" s="92">
        <f t="shared" ca="1" si="1"/>
        <v>14.562017939817451</v>
      </c>
      <c r="J46" s="93" t="str">
        <f t="shared" ca="1" si="2"/>
        <v>DUE THIS MONTH</v>
      </c>
      <c r="K46" s="93" t="s">
        <v>394</v>
      </c>
    </row>
    <row r="47" spans="1:11" s="47" customFormat="1" ht="31.5" customHeight="1">
      <c r="A47" s="88">
        <v>12</v>
      </c>
      <c r="B47" s="88">
        <f>VLOOKUP(A47, COSTS!$I$7:$J$13, 2, FALSE)</f>
        <v>225</v>
      </c>
      <c r="C47" s="88" t="s">
        <v>344</v>
      </c>
      <c r="D47" s="100">
        <v>45973</v>
      </c>
      <c r="E47" s="103">
        <v>46368</v>
      </c>
      <c r="F47" s="90">
        <v>768846867</v>
      </c>
      <c r="G47" s="90" t="s">
        <v>345</v>
      </c>
      <c r="H47" s="91">
        <f t="shared" ca="1" si="0"/>
        <v>46020.437982060183</v>
      </c>
      <c r="I47" s="92">
        <f t="shared" ca="1" si="1"/>
        <v>347.56201793981745</v>
      </c>
      <c r="J47" s="93" t="str">
        <f t="shared" ca="1" si="2"/>
        <v>ACTIVE</v>
      </c>
      <c r="K47" s="93" t="s">
        <v>394</v>
      </c>
    </row>
    <row r="48" spans="1:11" s="47" customFormat="1" ht="31.5" customHeight="1">
      <c r="A48" s="88">
        <v>3</v>
      </c>
      <c r="B48" s="88">
        <f>VLOOKUP(A48, COSTS!$I$7:$J$13, 2, FALSE)</f>
        <v>100</v>
      </c>
      <c r="C48" s="88" t="s">
        <v>349</v>
      </c>
      <c r="D48" s="100">
        <v>45973</v>
      </c>
      <c r="E48" s="89">
        <v>46065</v>
      </c>
      <c r="F48" s="90" t="s">
        <v>350</v>
      </c>
      <c r="G48" s="90" t="s">
        <v>351</v>
      </c>
      <c r="H48" s="91">
        <f t="shared" ca="1" si="0"/>
        <v>46020.437982060183</v>
      </c>
      <c r="I48" s="92">
        <f t="shared" ca="1" si="1"/>
        <v>44.562017939817451</v>
      </c>
      <c r="J48" s="93" t="str">
        <f t="shared" ca="1" si="2"/>
        <v>ACTIVE</v>
      </c>
      <c r="K48" s="93" t="s">
        <v>394</v>
      </c>
    </row>
    <row r="49" spans="1:11" s="47" customFormat="1" ht="31.5" customHeight="1">
      <c r="A49" s="88">
        <v>3</v>
      </c>
      <c r="B49" s="88">
        <f>VLOOKUP(A49, COSTS!$I$7:$J$13, 2, FALSE)</f>
        <v>100</v>
      </c>
      <c r="C49" s="88" t="s">
        <v>349</v>
      </c>
      <c r="D49" s="100">
        <v>45973</v>
      </c>
      <c r="E49" s="89">
        <v>46065</v>
      </c>
      <c r="F49" s="90">
        <v>776624932</v>
      </c>
      <c r="G49" s="90" t="s">
        <v>352</v>
      </c>
      <c r="H49" s="91">
        <f t="shared" ca="1" si="0"/>
        <v>46020.437982060183</v>
      </c>
      <c r="I49" s="92">
        <f t="shared" ca="1" si="1"/>
        <v>44.562017939817451</v>
      </c>
      <c r="J49" s="93" t="str">
        <f t="shared" ca="1" si="2"/>
        <v>ACTIVE</v>
      </c>
      <c r="K49" s="93" t="s">
        <v>394</v>
      </c>
    </row>
    <row r="50" spans="1:11" s="47" customFormat="1" ht="31.5" customHeight="1">
      <c r="A50" s="88">
        <v>2</v>
      </c>
      <c r="B50" s="88">
        <f>VLOOKUP(A50, COSTS!$I$7:$J$13, 2, FALSE)</f>
        <v>65</v>
      </c>
      <c r="C50" s="88" t="s">
        <v>172</v>
      </c>
      <c r="D50" s="100">
        <v>45972</v>
      </c>
      <c r="E50" s="89">
        <v>46033</v>
      </c>
      <c r="F50" s="90">
        <v>966944143</v>
      </c>
      <c r="G50" s="90" t="s">
        <v>346</v>
      </c>
      <c r="H50" s="91">
        <f t="shared" ca="1" si="0"/>
        <v>46020.437982060183</v>
      </c>
      <c r="I50" s="92">
        <f t="shared" ca="1" si="1"/>
        <v>12.562017939817451</v>
      </c>
      <c r="J50" s="93" t="str">
        <f t="shared" ca="1" si="2"/>
        <v>DUE THIS MONTH</v>
      </c>
      <c r="K50" s="93" t="s">
        <v>394</v>
      </c>
    </row>
    <row r="51" spans="1:11" s="47" customFormat="1" ht="31.5" customHeight="1">
      <c r="A51" s="88">
        <v>2</v>
      </c>
      <c r="B51" s="88">
        <f>VLOOKUP(A51, COSTS!$I$7:$J$13, 2, FALSE)</f>
        <v>65</v>
      </c>
      <c r="C51" s="88" t="s">
        <v>116</v>
      </c>
      <c r="D51" s="100">
        <v>45972</v>
      </c>
      <c r="E51" s="89">
        <v>46033</v>
      </c>
      <c r="F51" s="90">
        <v>773953416</v>
      </c>
      <c r="G51" s="90" t="s">
        <v>348</v>
      </c>
      <c r="H51" s="91">
        <f t="shared" ca="1" si="0"/>
        <v>46020.437982060183</v>
      </c>
      <c r="I51" s="92">
        <f t="shared" ca="1" si="1"/>
        <v>12.562017939817451</v>
      </c>
      <c r="J51" s="93" t="str">
        <f t="shared" ca="1" si="2"/>
        <v>DUE THIS MONTH</v>
      </c>
      <c r="K51" s="93" t="s">
        <v>394</v>
      </c>
    </row>
    <row r="52" spans="1:11" s="47" customFormat="1" ht="31.5" customHeight="1">
      <c r="A52" s="88">
        <v>2</v>
      </c>
      <c r="B52" s="88">
        <f>VLOOKUP(A52, COSTS!$I$7:$J$13, 2, FALSE)</f>
        <v>65</v>
      </c>
      <c r="C52" s="88" t="s">
        <v>134</v>
      </c>
      <c r="D52" s="89">
        <v>45971</v>
      </c>
      <c r="E52" s="89">
        <v>46032</v>
      </c>
      <c r="F52" s="90" t="s">
        <v>282</v>
      </c>
      <c r="G52" s="90" t="s">
        <v>283</v>
      </c>
      <c r="H52" s="91">
        <f t="shared" ca="1" si="0"/>
        <v>46020.437982060183</v>
      </c>
      <c r="I52" s="92">
        <f t="shared" ca="1" si="1"/>
        <v>11.562017939817451</v>
      </c>
      <c r="J52" s="93" t="str">
        <f t="shared" ca="1" si="2"/>
        <v>DUE THIS MONTH</v>
      </c>
      <c r="K52" s="93" t="s">
        <v>394</v>
      </c>
    </row>
    <row r="53" spans="1:11" s="47" customFormat="1" ht="31.5" customHeight="1">
      <c r="A53" s="88">
        <v>4</v>
      </c>
      <c r="B53" s="88">
        <f>VLOOKUP(A53, COSTS!$I$7:$J$13, 2, FALSE)</f>
        <v>135</v>
      </c>
      <c r="C53" s="88" t="s">
        <v>180</v>
      </c>
      <c r="D53" s="89">
        <v>45963</v>
      </c>
      <c r="E53" s="89">
        <v>46114</v>
      </c>
      <c r="F53" s="90" t="s">
        <v>181</v>
      </c>
      <c r="G53" s="90" t="s">
        <v>182</v>
      </c>
      <c r="H53" s="91">
        <f t="shared" ca="1" si="0"/>
        <v>46020.437982060183</v>
      </c>
      <c r="I53" s="92">
        <f t="shared" ca="1" si="1"/>
        <v>93.562017939817451</v>
      </c>
      <c r="J53" s="93" t="str">
        <f t="shared" ca="1" si="2"/>
        <v>ACTIVE</v>
      </c>
      <c r="K53" s="93" t="s">
        <v>394</v>
      </c>
    </row>
    <row r="54" spans="1:11" s="47" customFormat="1" ht="31.5" customHeight="1">
      <c r="A54" s="97">
        <v>2</v>
      </c>
      <c r="B54" s="88">
        <f>VLOOKUP(A54, COSTS!$I$7:$J$13, 2, FALSE)</f>
        <v>65</v>
      </c>
      <c r="C54" s="97" t="s">
        <v>30</v>
      </c>
      <c r="D54" s="98">
        <v>45962</v>
      </c>
      <c r="E54" s="98">
        <v>46023</v>
      </c>
      <c r="F54" s="99" t="s">
        <v>31</v>
      </c>
      <c r="G54" s="99" t="s">
        <v>32</v>
      </c>
      <c r="H54" s="91">
        <f t="shared" ca="1" si="0"/>
        <v>46020.437982060183</v>
      </c>
      <c r="I54" s="92">
        <f t="shared" ca="1" si="1"/>
        <v>2.5620179398174514</v>
      </c>
      <c r="J54" s="93" t="str">
        <f t="shared" ca="1" si="2"/>
        <v>DUE THIS WEEK</v>
      </c>
      <c r="K54" s="93" t="s">
        <v>394</v>
      </c>
    </row>
    <row r="55" spans="1:11" s="47" customFormat="1" ht="31.5" customHeight="1">
      <c r="A55" s="97">
        <v>6</v>
      </c>
      <c r="B55" s="88">
        <f>VLOOKUP(A55, COSTS!$I$7:$J$13, 2, FALSE)</f>
        <v>195</v>
      </c>
      <c r="C55" s="97" t="s">
        <v>104</v>
      </c>
      <c r="D55" s="98">
        <v>45962</v>
      </c>
      <c r="E55" s="98">
        <v>46023</v>
      </c>
      <c r="F55" s="99">
        <v>765655022</v>
      </c>
      <c r="G55" s="99" t="s">
        <v>105</v>
      </c>
      <c r="H55" s="91">
        <f t="shared" ca="1" si="0"/>
        <v>46020.437982060183</v>
      </c>
      <c r="I55" s="92">
        <f t="shared" ca="1" si="1"/>
        <v>2.5620179398174514</v>
      </c>
      <c r="J55" s="93" t="str">
        <f t="shared" ca="1" si="2"/>
        <v>DUE THIS WEEK</v>
      </c>
      <c r="K55" s="93" t="s">
        <v>394</v>
      </c>
    </row>
    <row r="56" spans="1:11" s="47" customFormat="1" ht="31.5" customHeight="1">
      <c r="A56" s="97">
        <v>5</v>
      </c>
      <c r="B56" s="88">
        <f>VLOOKUP(A56, COSTS!$B$7:$C$13, 2, FALSE)</f>
        <v>275</v>
      </c>
      <c r="C56" s="97" t="s">
        <v>60</v>
      </c>
      <c r="D56" s="98">
        <v>45960</v>
      </c>
      <c r="E56" s="98">
        <v>46142</v>
      </c>
      <c r="F56" s="99">
        <v>772320420</v>
      </c>
      <c r="G56" s="99" t="s">
        <v>61</v>
      </c>
      <c r="H56" s="91">
        <f t="shared" ca="1" si="0"/>
        <v>46020.437982060183</v>
      </c>
      <c r="I56" s="92">
        <f t="shared" ca="1" si="1"/>
        <v>121.56201793981745</v>
      </c>
      <c r="J56" s="93" t="str">
        <f t="shared" ca="1" si="2"/>
        <v>ACTIVE</v>
      </c>
      <c r="K56" s="93" t="s">
        <v>393</v>
      </c>
    </row>
    <row r="57" spans="1:11" s="47" customFormat="1" ht="31.5" customHeight="1">
      <c r="A57" s="94">
        <v>1</v>
      </c>
      <c r="B57" s="88">
        <f>VLOOKUP(A57, COSTS!$B$7:$C$13, 2, FALSE)</f>
        <v>65</v>
      </c>
      <c r="C57" s="94" t="s">
        <v>113</v>
      </c>
      <c r="D57" s="95">
        <v>45958</v>
      </c>
      <c r="E57" s="95">
        <v>46019</v>
      </c>
      <c r="F57" s="96">
        <v>760630696</v>
      </c>
      <c r="G57" s="96" t="s">
        <v>44</v>
      </c>
      <c r="H57" s="91">
        <f t="shared" ca="1" si="0"/>
        <v>46020.437982060183</v>
      </c>
      <c r="I57" s="92">
        <f t="shared" ca="1" si="1"/>
        <v>-1.4379820601825486</v>
      </c>
      <c r="J57" s="93" t="str">
        <f t="shared" ca="1" si="2"/>
        <v>EXPIRED</v>
      </c>
      <c r="K57" s="93" t="s">
        <v>393</v>
      </c>
    </row>
    <row r="58" spans="1:11" s="47" customFormat="1" ht="31.5" customHeight="1">
      <c r="A58" s="88">
        <v>1</v>
      </c>
      <c r="B58" s="88">
        <f>VLOOKUP(A58, COSTS!$B$7:$C$13, 2, FALSE)</f>
        <v>65</v>
      </c>
      <c r="C58" s="88" t="s">
        <v>341</v>
      </c>
      <c r="D58" s="100">
        <v>45958</v>
      </c>
      <c r="E58" s="100">
        <v>46019</v>
      </c>
      <c r="F58" s="90" t="s">
        <v>342</v>
      </c>
      <c r="G58" s="90" t="s">
        <v>343</v>
      </c>
      <c r="H58" s="91">
        <f t="shared" ca="1" si="0"/>
        <v>46020.437982060183</v>
      </c>
      <c r="I58" s="92">
        <f t="shared" ca="1" si="1"/>
        <v>-1.4379820601825486</v>
      </c>
      <c r="J58" s="93" t="str">
        <f t="shared" ca="1" si="2"/>
        <v>EXPIRED</v>
      </c>
      <c r="K58" s="93" t="s">
        <v>393</v>
      </c>
    </row>
    <row r="59" spans="1:11" s="47" customFormat="1" ht="31.5" customHeight="1">
      <c r="A59" s="97">
        <v>5</v>
      </c>
      <c r="B59" s="88">
        <f>VLOOKUP(A59, COSTS!$B$7:$C$13, 2, FALSE)</f>
        <v>275</v>
      </c>
      <c r="C59" s="97" t="s">
        <v>212</v>
      </c>
      <c r="D59" s="98">
        <v>45957</v>
      </c>
      <c r="E59" s="98">
        <v>46108</v>
      </c>
      <c r="F59" s="99">
        <v>768649316</v>
      </c>
      <c r="G59" s="99" t="s">
        <v>239</v>
      </c>
      <c r="H59" s="91">
        <f t="shared" ca="1" si="0"/>
        <v>46020.437982060183</v>
      </c>
      <c r="I59" s="92">
        <f t="shared" ca="1" si="1"/>
        <v>87.562017939817451</v>
      </c>
      <c r="J59" s="93" t="str">
        <f t="shared" ca="1" si="2"/>
        <v>ACTIVE</v>
      </c>
      <c r="K59" s="93" t="s">
        <v>393</v>
      </c>
    </row>
    <row r="60" spans="1:11" s="47" customFormat="1" ht="31.5" customHeight="1">
      <c r="A60" s="97">
        <v>2</v>
      </c>
      <c r="B60" s="88">
        <f>VLOOKUP(A60, COSTS!$B$7:$C$13, 2, FALSE)</f>
        <v>125</v>
      </c>
      <c r="C60" s="97" t="s">
        <v>108</v>
      </c>
      <c r="D60" s="98">
        <v>45956</v>
      </c>
      <c r="E60" s="98">
        <v>46017</v>
      </c>
      <c r="F60" s="99">
        <v>761351171</v>
      </c>
      <c r="G60" s="99" t="s">
        <v>109</v>
      </c>
      <c r="H60" s="91">
        <f t="shared" ca="1" si="0"/>
        <v>46020.437982060183</v>
      </c>
      <c r="I60" s="92">
        <f t="shared" ca="1" si="1"/>
        <v>-3.4379820601825486</v>
      </c>
      <c r="J60" s="93" t="str">
        <f t="shared" ca="1" si="2"/>
        <v>EXPIRED</v>
      </c>
      <c r="K60" s="93" t="s">
        <v>393</v>
      </c>
    </row>
    <row r="61" spans="1:11" s="47" customFormat="1" ht="31.5" customHeight="1">
      <c r="A61" s="94">
        <v>1</v>
      </c>
      <c r="B61" s="88">
        <f>VLOOKUP(A61, COSTS!$B$7:$C$13, 2, FALSE)</f>
        <v>65</v>
      </c>
      <c r="C61" s="88"/>
      <c r="D61" s="95">
        <v>45956</v>
      </c>
      <c r="E61" s="95">
        <v>46017</v>
      </c>
      <c r="F61" s="96" t="s">
        <v>124</v>
      </c>
      <c r="G61" s="96" t="s">
        <v>125</v>
      </c>
      <c r="H61" s="91">
        <f t="shared" ca="1" si="0"/>
        <v>46020.437982060183</v>
      </c>
      <c r="I61" s="92">
        <f t="shared" ca="1" si="1"/>
        <v>-3.4379820601825486</v>
      </c>
      <c r="J61" s="93" t="str">
        <f t="shared" ca="1" si="2"/>
        <v>EXPIRED</v>
      </c>
      <c r="K61" s="93" t="s">
        <v>393</v>
      </c>
    </row>
    <row r="62" spans="1:11" s="47" customFormat="1" ht="31.5" customHeight="1">
      <c r="A62" s="97">
        <v>2</v>
      </c>
      <c r="B62" s="88">
        <f>VLOOKUP(A62, COSTS!$B$7:$C$13, 2, FALSE)</f>
        <v>125</v>
      </c>
      <c r="C62" s="97" t="s">
        <v>108</v>
      </c>
      <c r="D62" s="102">
        <v>45956</v>
      </c>
      <c r="E62" s="98">
        <v>46017</v>
      </c>
      <c r="F62" s="99" t="s">
        <v>156</v>
      </c>
      <c r="G62" s="99" t="s">
        <v>157</v>
      </c>
      <c r="H62" s="91">
        <f t="shared" ca="1" si="0"/>
        <v>46020.437982060183</v>
      </c>
      <c r="I62" s="92">
        <f t="shared" ca="1" si="1"/>
        <v>-3.4379820601825486</v>
      </c>
      <c r="J62" s="93" t="str">
        <f t="shared" ca="1" si="2"/>
        <v>EXPIRED</v>
      </c>
      <c r="K62" s="93" t="s">
        <v>393</v>
      </c>
    </row>
    <row r="63" spans="1:11" s="47" customFormat="1" ht="31.5" customHeight="1">
      <c r="A63" s="88">
        <v>1</v>
      </c>
      <c r="B63" s="88">
        <f>VLOOKUP(A63, COSTS!$B$7:$C$13, 2, FALSE)</f>
        <v>65</v>
      </c>
      <c r="C63" s="97" t="s">
        <v>172</v>
      </c>
      <c r="D63" s="89">
        <v>45956</v>
      </c>
      <c r="E63" s="89">
        <v>46017</v>
      </c>
      <c r="F63" s="90">
        <f>260776125120</f>
        <v>260776125120</v>
      </c>
      <c r="G63" s="99" t="s">
        <v>172</v>
      </c>
      <c r="H63" s="91">
        <f t="shared" ca="1" si="0"/>
        <v>46020.437982060183</v>
      </c>
      <c r="I63" s="92">
        <f t="shared" ca="1" si="1"/>
        <v>-3.4379820601825486</v>
      </c>
      <c r="J63" s="93" t="str">
        <f t="shared" ca="1" si="2"/>
        <v>EXPIRED</v>
      </c>
      <c r="K63" s="93" t="s">
        <v>393</v>
      </c>
    </row>
    <row r="64" spans="1:11" s="47" customFormat="1" ht="31.5" customHeight="1">
      <c r="A64" s="88">
        <v>2</v>
      </c>
      <c r="B64" s="88">
        <f>VLOOKUP(A64, COSTS!$B$7:$C$13, 2, FALSE)</f>
        <v>125</v>
      </c>
      <c r="C64" s="88" t="s">
        <v>83</v>
      </c>
      <c r="D64" s="89">
        <v>45956</v>
      </c>
      <c r="E64" s="89">
        <v>46017</v>
      </c>
      <c r="F64" s="90">
        <v>974572669</v>
      </c>
      <c r="G64" s="90" t="s">
        <v>83</v>
      </c>
      <c r="H64" s="91">
        <f t="shared" ca="1" si="0"/>
        <v>46020.437982060183</v>
      </c>
      <c r="I64" s="92">
        <f t="shared" ca="1" si="1"/>
        <v>-3.4379820601825486</v>
      </c>
      <c r="J64" s="93" t="str">
        <f t="shared" ca="1" si="2"/>
        <v>EXPIRED</v>
      </c>
      <c r="K64" s="93" t="s">
        <v>393</v>
      </c>
    </row>
    <row r="65" spans="1:27" s="47" customFormat="1" ht="31.5" customHeight="1">
      <c r="A65" s="94">
        <v>1</v>
      </c>
      <c r="B65" s="88">
        <f>VLOOKUP(A65, COSTS!$B$7:$C$13, 2, FALSE)</f>
        <v>65</v>
      </c>
      <c r="C65" s="94"/>
      <c r="D65" s="95">
        <v>45955</v>
      </c>
      <c r="E65" s="95">
        <v>46016</v>
      </c>
      <c r="F65" s="96">
        <v>760630696</v>
      </c>
      <c r="G65" s="96" t="s">
        <v>44</v>
      </c>
      <c r="H65" s="91">
        <f t="shared" ca="1" si="0"/>
        <v>46020.437982060183</v>
      </c>
      <c r="I65" s="92">
        <f t="shared" ca="1" si="1"/>
        <v>-4.4379820601825486</v>
      </c>
      <c r="J65" s="93" t="str">
        <f t="shared" ca="1" si="2"/>
        <v>EXPIRED</v>
      </c>
      <c r="K65" s="93" t="s">
        <v>393</v>
      </c>
    </row>
    <row r="66" spans="1:27" s="47" customFormat="1" ht="31.5" customHeight="1">
      <c r="A66" s="97">
        <v>2</v>
      </c>
      <c r="B66" s="88">
        <f>VLOOKUP(A66, COSTS!$B$7:$C$13, 2, FALSE)</f>
        <v>125</v>
      </c>
      <c r="C66" s="94" t="s">
        <v>119</v>
      </c>
      <c r="D66" s="98">
        <v>45955</v>
      </c>
      <c r="E66" s="98">
        <v>46016</v>
      </c>
      <c r="F66" s="99">
        <v>761234732</v>
      </c>
      <c r="G66" s="99" t="s">
        <v>120</v>
      </c>
      <c r="H66" s="91">
        <f t="shared" ref="H66:H129" ca="1" si="3">NOW()</f>
        <v>46020.437982060183</v>
      </c>
      <c r="I66" s="92">
        <f t="shared" ref="I66:I129" ca="1" si="4">E66-H66</f>
        <v>-4.4379820601825486</v>
      </c>
      <c r="J66" s="93" t="str">
        <f t="shared" ref="J66:J129" ca="1" si="5">IF(I66&lt;=0, "EXPIRED",
 IF(I66&lt;=7, "DUE THIS WEEK",
 IF(I66&lt;=30, "DUE THIS MONTH", "ACTIVE")))</f>
        <v>EXPIRED</v>
      </c>
      <c r="K66" s="93" t="s">
        <v>393</v>
      </c>
    </row>
    <row r="67" spans="1:27" s="47" customFormat="1" ht="31.5" customHeight="1">
      <c r="A67" s="88"/>
      <c r="B67" s="88"/>
      <c r="C67" s="88"/>
      <c r="D67" s="89">
        <v>45955</v>
      </c>
      <c r="E67" s="89">
        <v>46016</v>
      </c>
      <c r="F67" s="90" t="s">
        <v>249</v>
      </c>
      <c r="G67" s="90" t="s">
        <v>250</v>
      </c>
      <c r="H67" s="91">
        <f t="shared" ca="1" si="3"/>
        <v>46020.437982060183</v>
      </c>
      <c r="I67" s="92">
        <f t="shared" ca="1" si="4"/>
        <v>-4.4379820601825486</v>
      </c>
      <c r="J67" s="93" t="str">
        <f t="shared" ca="1" si="5"/>
        <v>EXPIRED</v>
      </c>
      <c r="K67" s="93" t="s">
        <v>393</v>
      </c>
    </row>
    <row r="68" spans="1:27" s="47" customFormat="1" ht="31.5" customHeight="1">
      <c r="A68" s="88">
        <v>3</v>
      </c>
      <c r="B68" s="88">
        <f>VLOOKUP(A68, COSTS!$B$7:$C$13, 2, FALSE)</f>
        <v>185</v>
      </c>
      <c r="C68" s="88" t="s">
        <v>274</v>
      </c>
      <c r="D68" s="89">
        <v>45954</v>
      </c>
      <c r="E68" s="89">
        <v>46046</v>
      </c>
      <c r="F68" s="90">
        <v>768460106</v>
      </c>
      <c r="G68" s="90" t="s">
        <v>275</v>
      </c>
      <c r="H68" s="91">
        <f t="shared" ca="1" si="3"/>
        <v>46020.437982060183</v>
      </c>
      <c r="I68" s="92">
        <f t="shared" ca="1" si="4"/>
        <v>25.562017939817451</v>
      </c>
      <c r="J68" s="93" t="str">
        <f t="shared" ca="1" si="5"/>
        <v>DUE THIS MONTH</v>
      </c>
      <c r="K68" s="93" t="s">
        <v>393</v>
      </c>
    </row>
    <row r="69" spans="1:27" s="47" customFormat="1" ht="31.5" customHeight="1">
      <c r="A69" s="88">
        <v>2</v>
      </c>
      <c r="B69" s="88">
        <f>VLOOKUP(A69, COSTS!$B$7:$C$13, 2, FALSE)</f>
        <v>125</v>
      </c>
      <c r="C69" s="88" t="s">
        <v>8</v>
      </c>
      <c r="D69" s="89">
        <v>45954</v>
      </c>
      <c r="E69" s="89">
        <v>46015</v>
      </c>
      <c r="F69" s="90">
        <v>770483704</v>
      </c>
      <c r="G69" s="90" t="s">
        <v>9</v>
      </c>
      <c r="H69" s="91">
        <f t="shared" ca="1" si="3"/>
        <v>46020.437982060183</v>
      </c>
      <c r="I69" s="92">
        <f t="shared" ca="1" si="4"/>
        <v>-5.4379820601825486</v>
      </c>
      <c r="J69" s="93" t="str">
        <f t="shared" ca="1" si="5"/>
        <v>EXPIRED</v>
      </c>
      <c r="K69" s="93" t="s">
        <v>393</v>
      </c>
    </row>
    <row r="70" spans="1:27" s="47" customFormat="1" ht="31.5" customHeight="1">
      <c r="A70" s="88">
        <v>2</v>
      </c>
      <c r="B70" s="88">
        <f>VLOOKUP(A70, COSTS!$B$7:$C$13, 2, FALSE)</f>
        <v>125</v>
      </c>
      <c r="C70" s="88"/>
      <c r="D70" s="89">
        <v>45954</v>
      </c>
      <c r="E70" s="89">
        <v>46015</v>
      </c>
      <c r="F70" s="90">
        <v>969291260</v>
      </c>
      <c r="G70" s="90" t="s">
        <v>221</v>
      </c>
      <c r="H70" s="91">
        <f t="shared" ca="1" si="3"/>
        <v>46020.437982060183</v>
      </c>
      <c r="I70" s="92">
        <f t="shared" ca="1" si="4"/>
        <v>-5.4379820601825486</v>
      </c>
      <c r="J70" s="93" t="str">
        <f t="shared" ca="1" si="5"/>
        <v>EXPIRED</v>
      </c>
      <c r="K70" s="93" t="s">
        <v>393</v>
      </c>
    </row>
    <row r="71" spans="1:27" s="47" customFormat="1" ht="31.5" customHeight="1">
      <c r="A71" s="88">
        <v>2</v>
      </c>
      <c r="B71" s="88">
        <f>VLOOKUP(A71, COSTS!$B$7:$C$13, 2, FALSE)</f>
        <v>125</v>
      </c>
      <c r="C71" s="97" t="s">
        <v>8</v>
      </c>
      <c r="D71" s="89">
        <v>45954</v>
      </c>
      <c r="E71" s="89">
        <v>46015</v>
      </c>
      <c r="F71" s="90" t="s">
        <v>222</v>
      </c>
      <c r="G71" s="90" t="s">
        <v>223</v>
      </c>
      <c r="H71" s="91">
        <f t="shared" ca="1" si="3"/>
        <v>46020.437982060183</v>
      </c>
      <c r="I71" s="92">
        <f t="shared" ca="1" si="4"/>
        <v>-5.4379820601825486</v>
      </c>
      <c r="J71" s="93" t="str">
        <f t="shared" ca="1" si="5"/>
        <v>EXPIRED</v>
      </c>
      <c r="K71" s="93" t="s">
        <v>393</v>
      </c>
    </row>
    <row r="72" spans="1:27" s="47" customFormat="1" ht="31.5" customHeight="1">
      <c r="A72" s="88">
        <v>2</v>
      </c>
      <c r="B72" s="88">
        <f>VLOOKUP(A72, COSTS!$B$7:$C$13, 2, FALSE)</f>
        <v>125</v>
      </c>
      <c r="C72" s="88" t="s">
        <v>8</v>
      </c>
      <c r="D72" s="89">
        <v>45954</v>
      </c>
      <c r="E72" s="89">
        <v>46015</v>
      </c>
      <c r="F72" s="90" t="s">
        <v>309</v>
      </c>
      <c r="G72" s="90" t="s">
        <v>310</v>
      </c>
      <c r="H72" s="91">
        <f t="shared" ca="1" si="3"/>
        <v>46020.437982060183</v>
      </c>
      <c r="I72" s="92">
        <f t="shared" ca="1" si="4"/>
        <v>-5.4379820601825486</v>
      </c>
      <c r="J72" s="93" t="str">
        <f t="shared" ca="1" si="5"/>
        <v>EXPIRED</v>
      </c>
      <c r="K72" s="93" t="s">
        <v>393</v>
      </c>
    </row>
    <row r="73" spans="1:27" s="47" customFormat="1" ht="31.5" customHeight="1">
      <c r="A73" s="88">
        <v>1</v>
      </c>
      <c r="B73" s="88">
        <f>VLOOKUP(A73, COSTS!$B$7:$C$13, 2, FALSE)</f>
        <v>65</v>
      </c>
      <c r="C73" s="88" t="s">
        <v>311</v>
      </c>
      <c r="D73" s="100">
        <v>45954</v>
      </c>
      <c r="E73" s="100">
        <v>46015</v>
      </c>
      <c r="F73" s="90">
        <v>779212100</v>
      </c>
      <c r="G73" s="90" t="s">
        <v>312</v>
      </c>
      <c r="H73" s="91">
        <f t="shared" ca="1" si="3"/>
        <v>46020.437982060183</v>
      </c>
      <c r="I73" s="92">
        <f t="shared" ca="1" si="4"/>
        <v>-5.4379820601825486</v>
      </c>
      <c r="J73" s="93" t="str">
        <f t="shared" ca="1" si="5"/>
        <v>EXPIRED</v>
      </c>
      <c r="K73" s="93" t="s">
        <v>393</v>
      </c>
    </row>
    <row r="74" spans="1:27" s="47" customFormat="1" ht="31.5" customHeight="1">
      <c r="A74" s="88">
        <v>2</v>
      </c>
      <c r="B74" s="88">
        <f>VLOOKUP(A74, COSTS!$B$7:$C$13, 2, FALSE)</f>
        <v>125</v>
      </c>
      <c r="C74" s="88" t="s">
        <v>319</v>
      </c>
      <c r="D74" s="89">
        <v>45954</v>
      </c>
      <c r="E74" s="89">
        <v>46015</v>
      </c>
      <c r="F74" s="90">
        <v>779692903</v>
      </c>
      <c r="G74" s="90" t="s">
        <v>320</v>
      </c>
      <c r="H74" s="91">
        <f t="shared" ca="1" si="3"/>
        <v>46020.437982060183</v>
      </c>
      <c r="I74" s="92">
        <f t="shared" ca="1" si="4"/>
        <v>-5.4379820601825486</v>
      </c>
      <c r="J74" s="93" t="str">
        <f t="shared" ca="1" si="5"/>
        <v>EXPIRED</v>
      </c>
      <c r="K74" s="93" t="s">
        <v>393</v>
      </c>
    </row>
    <row r="75" spans="1:27" s="47" customFormat="1" ht="31.5" customHeight="1">
      <c r="A75" s="88">
        <v>2</v>
      </c>
      <c r="B75" s="88">
        <f>VLOOKUP(A75, COSTS!$B$7:$C$13, 2, FALSE)</f>
        <v>125</v>
      </c>
      <c r="C75" s="88" t="s">
        <v>321</v>
      </c>
      <c r="D75" s="89">
        <v>45954</v>
      </c>
      <c r="E75" s="89">
        <v>46015</v>
      </c>
      <c r="F75" s="90">
        <v>60768619582</v>
      </c>
      <c r="G75" s="90" t="s">
        <v>238</v>
      </c>
      <c r="H75" s="91">
        <f t="shared" ca="1" si="3"/>
        <v>46020.437982060183</v>
      </c>
      <c r="I75" s="92">
        <f t="shared" ca="1" si="4"/>
        <v>-5.4379820601825486</v>
      </c>
      <c r="J75" s="93" t="str">
        <f t="shared" ca="1" si="5"/>
        <v>EXPIRED</v>
      </c>
      <c r="K75" s="93" t="s">
        <v>393</v>
      </c>
    </row>
    <row r="76" spans="1:27" s="47" customFormat="1" ht="31.5" customHeight="1">
      <c r="A76" s="88">
        <v>2</v>
      </c>
      <c r="B76" s="88">
        <f>VLOOKUP(A76, COSTS!$B$7:$C$13, 2, FALSE)</f>
        <v>125</v>
      </c>
      <c r="C76" s="88" t="s">
        <v>8</v>
      </c>
      <c r="D76" s="100">
        <v>45954</v>
      </c>
      <c r="E76" s="100">
        <v>46015</v>
      </c>
      <c r="F76" s="90" t="s">
        <v>338</v>
      </c>
      <c r="G76" s="90" t="s">
        <v>339</v>
      </c>
      <c r="H76" s="91">
        <f t="shared" ca="1" si="3"/>
        <v>46020.437982060183</v>
      </c>
      <c r="I76" s="92">
        <f t="shared" ca="1" si="4"/>
        <v>-5.4379820601825486</v>
      </c>
      <c r="J76" s="93" t="str">
        <f t="shared" ca="1" si="5"/>
        <v>EXPIRED</v>
      </c>
      <c r="K76" s="93" t="s">
        <v>393</v>
      </c>
    </row>
    <row r="77" spans="1:27" s="47" customFormat="1" ht="31.5" customHeight="1">
      <c r="A77" s="88">
        <v>5</v>
      </c>
      <c r="B77" s="88">
        <f>VLOOKUP(A77, COSTS!$B$7:$C$13, 2, FALSE)</f>
        <v>275</v>
      </c>
      <c r="C77" s="88" t="s">
        <v>54</v>
      </c>
      <c r="D77" s="100">
        <v>45954</v>
      </c>
      <c r="E77" s="100">
        <v>46015</v>
      </c>
      <c r="F77" s="90">
        <v>761365474</v>
      </c>
      <c r="G77" s="90" t="s">
        <v>340</v>
      </c>
      <c r="H77" s="91">
        <f t="shared" ca="1" si="3"/>
        <v>46020.437982060183</v>
      </c>
      <c r="I77" s="92">
        <f t="shared" ca="1" si="4"/>
        <v>-5.4379820601825486</v>
      </c>
      <c r="J77" s="93" t="str">
        <f t="shared" ca="1" si="5"/>
        <v>EXPIRED</v>
      </c>
      <c r="K77" s="93" t="s">
        <v>393</v>
      </c>
    </row>
    <row r="78" spans="1:27" s="47" customFormat="1" ht="31.5" customHeight="1">
      <c r="A78" s="88">
        <v>1</v>
      </c>
      <c r="B78" s="88">
        <f>VLOOKUP(A78, COSTS!$B$7:$C$13, 2, FALSE)</f>
        <v>65</v>
      </c>
      <c r="C78" s="88" t="s">
        <v>30</v>
      </c>
      <c r="D78" s="89">
        <v>45954</v>
      </c>
      <c r="E78" s="100">
        <v>45985</v>
      </c>
      <c r="F78" s="90" t="s">
        <v>336</v>
      </c>
      <c r="G78" s="90" t="s">
        <v>337</v>
      </c>
      <c r="H78" s="91">
        <f t="shared" ca="1" si="3"/>
        <v>46020.437982060183</v>
      </c>
      <c r="I78" s="92">
        <f t="shared" ca="1" si="4"/>
        <v>-35.437982060182549</v>
      </c>
      <c r="J78" s="93" t="str">
        <f t="shared" ca="1" si="5"/>
        <v>EXPIRED</v>
      </c>
      <c r="K78" s="93" t="s">
        <v>393</v>
      </c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spans="1:27" s="47" customFormat="1" ht="31.5" customHeight="1">
      <c r="A79" s="94">
        <v>1</v>
      </c>
      <c r="B79" s="88">
        <f>VLOOKUP(A79, COSTS!$B$7:$C$13, 2, FALSE)</f>
        <v>65</v>
      </c>
      <c r="C79" s="94" t="s">
        <v>67</v>
      </c>
      <c r="D79" s="101">
        <v>45952</v>
      </c>
      <c r="E79" s="101">
        <v>46013</v>
      </c>
      <c r="F79" s="96" t="s">
        <v>146</v>
      </c>
      <c r="G79" s="104" t="s">
        <v>147</v>
      </c>
      <c r="H79" s="91">
        <f t="shared" ca="1" si="3"/>
        <v>46020.437982060183</v>
      </c>
      <c r="I79" s="92">
        <f t="shared" ca="1" si="4"/>
        <v>-7.4379820601825486</v>
      </c>
      <c r="J79" s="93" t="str">
        <f t="shared" ca="1" si="5"/>
        <v>EXPIRED</v>
      </c>
      <c r="K79" s="93" t="s">
        <v>393</v>
      </c>
    </row>
    <row r="80" spans="1:27" s="47" customFormat="1" ht="31.5" customHeight="1">
      <c r="A80" s="88">
        <v>6</v>
      </c>
      <c r="B80" s="88">
        <f>VLOOKUP(A80, COSTS!$B$7:$C$13, 2, FALSE)</f>
        <v>325</v>
      </c>
      <c r="C80" s="88" t="s">
        <v>301</v>
      </c>
      <c r="D80" s="89">
        <v>45951</v>
      </c>
      <c r="E80" s="89">
        <v>46133</v>
      </c>
      <c r="F80" s="90">
        <v>774683105</v>
      </c>
      <c r="G80" s="90" t="s">
        <v>302</v>
      </c>
      <c r="H80" s="91">
        <f t="shared" ca="1" si="3"/>
        <v>46020.437982060183</v>
      </c>
      <c r="I80" s="92">
        <f t="shared" ca="1" si="4"/>
        <v>112.56201793981745</v>
      </c>
      <c r="J80" s="93" t="str">
        <f t="shared" ca="1" si="5"/>
        <v>ACTIVE</v>
      </c>
      <c r="K80" s="93" t="s">
        <v>393</v>
      </c>
    </row>
    <row r="81" spans="1:27" s="47" customFormat="1" ht="31.5" customHeight="1">
      <c r="A81" s="88">
        <v>1</v>
      </c>
      <c r="B81" s="88">
        <f>VLOOKUP(A81, COSTS!$B$7:$C$13, 2, FALSE)</f>
        <v>65</v>
      </c>
      <c r="C81" s="88" t="s">
        <v>161</v>
      </c>
      <c r="D81" s="89">
        <v>45951</v>
      </c>
      <c r="E81" s="89">
        <v>45982</v>
      </c>
      <c r="F81" s="90">
        <v>260776943008</v>
      </c>
      <c r="G81" s="90" t="s">
        <v>162</v>
      </c>
      <c r="H81" s="91">
        <f t="shared" ca="1" si="3"/>
        <v>46020.437982060183</v>
      </c>
      <c r="I81" s="92">
        <f t="shared" ca="1" si="4"/>
        <v>-38.437982060182549</v>
      </c>
      <c r="J81" s="93" t="str">
        <f t="shared" ca="1" si="5"/>
        <v>EXPIRED</v>
      </c>
      <c r="K81" s="93" t="s">
        <v>393</v>
      </c>
    </row>
    <row r="82" spans="1:27" s="47" customFormat="1" ht="31.5" customHeight="1">
      <c r="A82" s="88">
        <v>1</v>
      </c>
      <c r="B82" s="88">
        <f>VLOOKUP(A82, COSTS!$B$7:$C$13, 2, FALSE)</f>
        <v>65</v>
      </c>
      <c r="C82" s="88" t="s">
        <v>215</v>
      </c>
      <c r="D82" s="89">
        <v>45948</v>
      </c>
      <c r="E82" s="89">
        <v>46040</v>
      </c>
      <c r="F82" s="90" t="s">
        <v>216</v>
      </c>
      <c r="G82" s="90" t="s">
        <v>217</v>
      </c>
      <c r="H82" s="91">
        <f t="shared" ca="1" si="3"/>
        <v>46020.437982060183</v>
      </c>
      <c r="I82" s="92">
        <f t="shared" ca="1" si="4"/>
        <v>19.562017939817451</v>
      </c>
      <c r="J82" s="93" t="str">
        <f t="shared" ca="1" si="5"/>
        <v>DUE THIS MONTH</v>
      </c>
      <c r="K82" s="93" t="s">
        <v>393</v>
      </c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 spans="1:27" s="47" customFormat="1" ht="31.5" customHeight="1">
      <c r="A83" s="88">
        <v>3</v>
      </c>
      <c r="B83" s="88">
        <f>VLOOKUP(A83, COSTS!$B$7:$C$13, 2, FALSE)</f>
        <v>185</v>
      </c>
      <c r="C83" s="88" t="s">
        <v>176</v>
      </c>
      <c r="D83" s="89">
        <v>45947</v>
      </c>
      <c r="E83" s="89">
        <v>46039</v>
      </c>
      <c r="F83" s="90">
        <v>260777702700</v>
      </c>
      <c r="G83" s="90" t="s">
        <v>177</v>
      </c>
      <c r="H83" s="91">
        <f t="shared" ca="1" si="3"/>
        <v>46020.437982060183</v>
      </c>
      <c r="I83" s="92">
        <f t="shared" ca="1" si="4"/>
        <v>18.562017939817451</v>
      </c>
      <c r="J83" s="93" t="str">
        <f t="shared" ca="1" si="5"/>
        <v>DUE THIS MONTH</v>
      </c>
      <c r="K83" s="93" t="s">
        <v>393</v>
      </c>
    </row>
    <row r="84" spans="1:27" s="47" customFormat="1" ht="31.5" customHeight="1">
      <c r="A84" s="88"/>
      <c r="B84" s="88"/>
      <c r="C84" s="88" t="s">
        <v>104</v>
      </c>
      <c r="D84" s="100">
        <v>45947</v>
      </c>
      <c r="E84" s="89">
        <v>46039</v>
      </c>
      <c r="F84" s="90" t="s">
        <v>226</v>
      </c>
      <c r="G84" s="90" t="s">
        <v>227</v>
      </c>
      <c r="H84" s="91">
        <f t="shared" ca="1" si="3"/>
        <v>46020.437982060183</v>
      </c>
      <c r="I84" s="92">
        <f t="shared" ca="1" si="4"/>
        <v>18.562017939817451</v>
      </c>
      <c r="J84" s="93" t="str">
        <f t="shared" ca="1" si="5"/>
        <v>DUE THIS MONTH</v>
      </c>
      <c r="K84" s="93" t="s">
        <v>393</v>
      </c>
    </row>
    <row r="85" spans="1:27" s="47" customFormat="1" ht="31.5" customHeight="1">
      <c r="A85" s="94">
        <v>6</v>
      </c>
      <c r="B85" s="88">
        <f>VLOOKUP(A85, COSTS!$B$7:$C$13, 2, FALSE)</f>
        <v>325</v>
      </c>
      <c r="C85" s="94" t="s">
        <v>129</v>
      </c>
      <c r="D85" s="95">
        <v>45944</v>
      </c>
      <c r="E85" s="95">
        <v>46126</v>
      </c>
      <c r="F85" s="96" t="s">
        <v>148</v>
      </c>
      <c r="G85" s="96" t="s">
        <v>149</v>
      </c>
      <c r="H85" s="91">
        <f t="shared" ca="1" si="3"/>
        <v>46020.437982060183</v>
      </c>
      <c r="I85" s="92">
        <f t="shared" ca="1" si="4"/>
        <v>105.56201793981745</v>
      </c>
      <c r="J85" s="93" t="str">
        <f t="shared" ca="1" si="5"/>
        <v>ACTIVE</v>
      </c>
      <c r="K85" s="93" t="s">
        <v>393</v>
      </c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spans="1:27" s="47" customFormat="1" ht="31.5" customHeight="1">
      <c r="A86" s="94">
        <v>6</v>
      </c>
      <c r="B86" s="88">
        <f>VLOOKUP(A86, COSTS!$B$7:$C$13, 2, FALSE)</f>
        <v>325</v>
      </c>
      <c r="C86" s="94" t="s">
        <v>251</v>
      </c>
      <c r="D86" s="95">
        <v>45944</v>
      </c>
      <c r="E86" s="95">
        <v>46126</v>
      </c>
      <c r="F86" s="96">
        <v>777535332</v>
      </c>
      <c r="G86" s="96" t="s">
        <v>252</v>
      </c>
      <c r="H86" s="91">
        <f t="shared" ca="1" si="3"/>
        <v>46020.437982060183</v>
      </c>
      <c r="I86" s="92">
        <f t="shared" ca="1" si="4"/>
        <v>105.56201793981745</v>
      </c>
      <c r="J86" s="93" t="str">
        <f t="shared" ca="1" si="5"/>
        <v>ACTIVE</v>
      </c>
      <c r="K86" s="93" t="s">
        <v>393</v>
      </c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 spans="1:27" s="47" customFormat="1" ht="31.5" customHeight="1">
      <c r="A87" s="97">
        <v>1</v>
      </c>
      <c r="B87" s="88">
        <f>VLOOKUP(A87, COSTS!$B$7:$C$13, 2, FALSE)</f>
        <v>65</v>
      </c>
      <c r="C87" s="97" t="s">
        <v>25</v>
      </c>
      <c r="D87" s="98">
        <v>45944</v>
      </c>
      <c r="E87" s="98">
        <v>46036</v>
      </c>
      <c r="F87" s="99" t="s">
        <v>26</v>
      </c>
      <c r="G87" s="99" t="s">
        <v>27</v>
      </c>
      <c r="H87" s="91">
        <f t="shared" ca="1" si="3"/>
        <v>46020.437982060183</v>
      </c>
      <c r="I87" s="92">
        <f t="shared" ca="1" si="4"/>
        <v>15.562017939817451</v>
      </c>
      <c r="J87" s="93" t="str">
        <f t="shared" ca="1" si="5"/>
        <v>DUE THIS MONTH</v>
      </c>
      <c r="K87" s="93" t="s">
        <v>393</v>
      </c>
    </row>
    <row r="88" spans="1:27" s="47" customFormat="1" ht="31.5" customHeight="1">
      <c r="A88" s="88">
        <v>2</v>
      </c>
      <c r="B88" s="88">
        <f>VLOOKUP(A88, COSTS!$B$7:$C$13, 2, FALSE)</f>
        <v>125</v>
      </c>
      <c r="C88" s="88" t="s">
        <v>254</v>
      </c>
      <c r="D88" s="89">
        <v>45943</v>
      </c>
      <c r="E88" s="100">
        <v>46004</v>
      </c>
      <c r="F88" s="90">
        <v>774654611</v>
      </c>
      <c r="G88" s="90" t="s">
        <v>255</v>
      </c>
      <c r="H88" s="91">
        <f t="shared" ca="1" si="3"/>
        <v>46020.437982060183</v>
      </c>
      <c r="I88" s="92">
        <f t="shared" ca="1" si="4"/>
        <v>-16.437982060182549</v>
      </c>
      <c r="J88" s="93" t="str">
        <f t="shared" ca="1" si="5"/>
        <v>EXPIRED</v>
      </c>
      <c r="K88" s="93" t="s">
        <v>393</v>
      </c>
    </row>
    <row r="89" spans="1:27" s="47" customFormat="1" ht="31.5" customHeight="1">
      <c r="A89" s="94">
        <v>3</v>
      </c>
      <c r="B89" s="88">
        <f>VLOOKUP(A89, COSTS!$B$7:$C$13, 2, FALSE)</f>
        <v>185</v>
      </c>
      <c r="C89" s="94" t="s">
        <v>134</v>
      </c>
      <c r="D89" s="95">
        <v>45941</v>
      </c>
      <c r="E89" s="95">
        <v>46033</v>
      </c>
      <c r="F89" s="96" t="s">
        <v>135</v>
      </c>
      <c r="G89" s="96" t="s">
        <v>136</v>
      </c>
      <c r="H89" s="91">
        <f t="shared" ca="1" si="3"/>
        <v>46020.437982060183</v>
      </c>
      <c r="I89" s="92">
        <f t="shared" ca="1" si="4"/>
        <v>12.562017939817451</v>
      </c>
      <c r="J89" s="93" t="str">
        <f t="shared" ca="1" si="5"/>
        <v>DUE THIS MONTH</v>
      </c>
      <c r="K89" s="93" t="s">
        <v>393</v>
      </c>
    </row>
    <row r="90" spans="1:27" s="47" customFormat="1" ht="31.5" customHeight="1">
      <c r="A90" s="88">
        <v>3</v>
      </c>
      <c r="B90" s="88">
        <f>VLOOKUP(A90, COSTS!$B$7:$C$13, 2, FALSE)</f>
        <v>185</v>
      </c>
      <c r="C90" s="88" t="s">
        <v>77</v>
      </c>
      <c r="D90" s="89">
        <v>45940</v>
      </c>
      <c r="E90" s="89">
        <v>46032</v>
      </c>
      <c r="F90" s="90">
        <v>260770887128</v>
      </c>
      <c r="G90" s="90" t="s">
        <v>256</v>
      </c>
      <c r="H90" s="91">
        <f t="shared" ca="1" si="3"/>
        <v>46020.437982060183</v>
      </c>
      <c r="I90" s="92">
        <f t="shared" ca="1" si="4"/>
        <v>11.562017939817451</v>
      </c>
      <c r="J90" s="93" t="str">
        <f t="shared" ca="1" si="5"/>
        <v>DUE THIS MONTH</v>
      </c>
      <c r="K90" s="93" t="s">
        <v>393</v>
      </c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 spans="1:27" s="47" customFormat="1" ht="31.5" customHeight="1">
      <c r="A91" s="94">
        <v>6</v>
      </c>
      <c r="B91" s="88">
        <f>VLOOKUP(A91, COSTS!$B$7:$C$13, 2, FALSE)</f>
        <v>325</v>
      </c>
      <c r="C91" s="94" t="s">
        <v>54</v>
      </c>
      <c r="D91" s="95">
        <v>45939</v>
      </c>
      <c r="E91" s="95">
        <v>46121</v>
      </c>
      <c r="F91" s="96">
        <v>260776071847</v>
      </c>
      <c r="G91" s="96" t="s">
        <v>55</v>
      </c>
      <c r="H91" s="91">
        <f t="shared" ca="1" si="3"/>
        <v>46020.437982060183</v>
      </c>
      <c r="I91" s="92">
        <f t="shared" ca="1" si="4"/>
        <v>100.56201793981745</v>
      </c>
      <c r="J91" s="93" t="str">
        <f t="shared" ca="1" si="5"/>
        <v>ACTIVE</v>
      </c>
      <c r="K91" s="93" t="s">
        <v>393</v>
      </c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 spans="1:27" s="47" customFormat="1" ht="31.5" customHeight="1">
      <c r="A92" s="88">
        <v>3</v>
      </c>
      <c r="B92" s="88">
        <f>VLOOKUP(A92, COSTS!$B$7:$C$13, 2, FALSE)</f>
        <v>185</v>
      </c>
      <c r="C92" s="88" t="s">
        <v>77</v>
      </c>
      <c r="D92" s="89">
        <v>45939</v>
      </c>
      <c r="E92" s="89">
        <v>46031</v>
      </c>
      <c r="F92" s="90">
        <v>260770887128</v>
      </c>
      <c r="G92" s="90" t="s">
        <v>78</v>
      </c>
      <c r="H92" s="91">
        <f t="shared" ca="1" si="3"/>
        <v>46020.437982060183</v>
      </c>
      <c r="I92" s="92">
        <f t="shared" ca="1" si="4"/>
        <v>10.562017939817451</v>
      </c>
      <c r="J92" s="93" t="str">
        <f t="shared" ca="1" si="5"/>
        <v>DUE THIS MONTH</v>
      </c>
      <c r="K92" s="93" t="s">
        <v>393</v>
      </c>
    </row>
    <row r="93" spans="1:27" s="47" customFormat="1" ht="31.5" customHeight="1">
      <c r="A93" s="97"/>
      <c r="B93" s="88"/>
      <c r="C93" s="97"/>
      <c r="D93" s="98">
        <v>45939</v>
      </c>
      <c r="E93" s="98">
        <v>46000</v>
      </c>
      <c r="F93" s="99" t="s">
        <v>81</v>
      </c>
      <c r="G93" s="99" t="s">
        <v>82</v>
      </c>
      <c r="H93" s="91">
        <f t="shared" ca="1" si="3"/>
        <v>46020.437982060183</v>
      </c>
      <c r="I93" s="92">
        <f t="shared" ca="1" si="4"/>
        <v>-20.437982060182549</v>
      </c>
      <c r="J93" s="93" t="str">
        <f t="shared" ca="1" si="5"/>
        <v>EXPIRED</v>
      </c>
      <c r="K93" s="93" t="s">
        <v>393</v>
      </c>
    </row>
    <row r="94" spans="1:27" s="47" customFormat="1" ht="31.5" customHeight="1">
      <c r="A94" s="94">
        <v>1</v>
      </c>
      <c r="B94" s="88">
        <f>VLOOKUP(A94, COSTS!$B$7:$C$13, 2, FALSE)</f>
        <v>65</v>
      </c>
      <c r="C94" s="94" t="s">
        <v>183</v>
      </c>
      <c r="D94" s="95">
        <v>45936</v>
      </c>
      <c r="E94" s="95">
        <v>45997</v>
      </c>
      <c r="F94" s="96" t="s">
        <v>237</v>
      </c>
      <c r="G94" s="96" t="s">
        <v>238</v>
      </c>
      <c r="H94" s="91">
        <f t="shared" ca="1" si="3"/>
        <v>46020.437982060183</v>
      </c>
      <c r="I94" s="92">
        <f t="shared" ca="1" si="4"/>
        <v>-23.437982060182549</v>
      </c>
      <c r="J94" s="93" t="str">
        <f t="shared" ca="1" si="5"/>
        <v>EXPIRED</v>
      </c>
      <c r="K94" s="93" t="s">
        <v>393</v>
      </c>
    </row>
    <row r="95" spans="1:27" s="47" customFormat="1" ht="31.5" customHeight="1">
      <c r="A95" s="88">
        <v>3</v>
      </c>
      <c r="B95" s="88">
        <f>VLOOKUP(A95, COSTS!$B$7:$C$13, 2, FALSE)</f>
        <v>185</v>
      </c>
      <c r="C95" s="88" t="s">
        <v>70</v>
      </c>
      <c r="D95" s="89">
        <v>45935</v>
      </c>
      <c r="E95" s="89">
        <v>46027</v>
      </c>
      <c r="F95" s="90" t="s">
        <v>294</v>
      </c>
      <c r="G95" s="90" t="s">
        <v>295</v>
      </c>
      <c r="H95" s="91">
        <f t="shared" ca="1" si="3"/>
        <v>46020.437982060183</v>
      </c>
      <c r="I95" s="92">
        <f t="shared" ca="1" si="4"/>
        <v>6.5620179398174514</v>
      </c>
      <c r="J95" s="93" t="str">
        <f t="shared" ca="1" si="5"/>
        <v>DUE THIS WEEK</v>
      </c>
      <c r="K95" s="93" t="s">
        <v>393</v>
      </c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 spans="1:27" s="47" customFormat="1" ht="31.5" customHeight="1">
      <c r="A96" s="94">
        <v>2</v>
      </c>
      <c r="B96" s="88">
        <f>VLOOKUP(A96, COSTS!$B$7:$C$13, 2, FALSE)</f>
        <v>125</v>
      </c>
      <c r="C96" s="94" t="s">
        <v>30</v>
      </c>
      <c r="D96" s="95">
        <v>45933</v>
      </c>
      <c r="E96" s="95">
        <v>47090</v>
      </c>
      <c r="F96" s="96" t="s">
        <v>90</v>
      </c>
      <c r="G96" s="96" t="s">
        <v>91</v>
      </c>
      <c r="H96" s="91">
        <f t="shared" ca="1" si="3"/>
        <v>46020.437982060183</v>
      </c>
      <c r="I96" s="92">
        <f t="shared" ca="1" si="4"/>
        <v>1069.5620179398175</v>
      </c>
      <c r="J96" s="93" t="str">
        <f t="shared" ca="1" si="5"/>
        <v>ACTIVE</v>
      </c>
      <c r="K96" s="93" t="s">
        <v>393</v>
      </c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spans="1:27" s="47" customFormat="1" ht="31.5" customHeight="1">
      <c r="A97" s="88">
        <v>6</v>
      </c>
      <c r="B97" s="88">
        <f>VLOOKUP(A97, COSTS!$B$7:$C$13, 2, FALSE)</f>
        <v>325</v>
      </c>
      <c r="C97" s="88" t="s">
        <v>161</v>
      </c>
      <c r="D97" s="89">
        <v>45933</v>
      </c>
      <c r="E97" s="89">
        <v>46115</v>
      </c>
      <c r="F97" s="90">
        <v>60767759812</v>
      </c>
      <c r="G97" s="90" t="s">
        <v>300</v>
      </c>
      <c r="H97" s="91">
        <f t="shared" ca="1" si="3"/>
        <v>46020.437982060183</v>
      </c>
      <c r="I97" s="92">
        <f t="shared" ca="1" si="4"/>
        <v>94.562017939817451</v>
      </c>
      <c r="J97" s="93" t="str">
        <f t="shared" ca="1" si="5"/>
        <v>ACTIVE</v>
      </c>
      <c r="K97" s="93" t="s">
        <v>393</v>
      </c>
    </row>
    <row r="98" spans="1:27" s="47" customFormat="1" ht="31.5" customHeight="1">
      <c r="A98" s="94">
        <v>3</v>
      </c>
      <c r="B98" s="88">
        <f>VLOOKUP(A98, COSTS!$B$7:$C$13, 2, FALSE)</f>
        <v>185</v>
      </c>
      <c r="C98" s="94" t="s">
        <v>167</v>
      </c>
      <c r="D98" s="95">
        <v>45933</v>
      </c>
      <c r="E98" s="95">
        <v>46025</v>
      </c>
      <c r="F98" s="96" t="s">
        <v>168</v>
      </c>
      <c r="G98" s="96" t="s">
        <v>169</v>
      </c>
      <c r="H98" s="91">
        <f t="shared" ca="1" si="3"/>
        <v>46020.437982060183</v>
      </c>
      <c r="I98" s="92">
        <f t="shared" ca="1" si="4"/>
        <v>4.5620179398174514</v>
      </c>
      <c r="J98" s="93" t="str">
        <f t="shared" ca="1" si="5"/>
        <v>DUE THIS WEEK</v>
      </c>
      <c r="K98" s="93" t="s">
        <v>393</v>
      </c>
    </row>
    <row r="99" spans="1:27" s="47" customFormat="1" ht="31.5" customHeight="1">
      <c r="A99" s="88"/>
      <c r="B99" s="88"/>
      <c r="C99" s="88" t="s">
        <v>37</v>
      </c>
      <c r="D99" s="89">
        <v>45931</v>
      </c>
      <c r="E99" s="89">
        <v>46023</v>
      </c>
      <c r="F99" s="90">
        <v>260570241458</v>
      </c>
      <c r="G99" s="90" t="s">
        <v>241</v>
      </c>
      <c r="H99" s="91">
        <f t="shared" ca="1" si="3"/>
        <v>46020.437982060183</v>
      </c>
      <c r="I99" s="92">
        <f t="shared" ca="1" si="4"/>
        <v>2.5620179398174514</v>
      </c>
      <c r="J99" s="93" t="str">
        <f t="shared" ca="1" si="5"/>
        <v>DUE THIS WEEK</v>
      </c>
      <c r="K99" s="93" t="s">
        <v>393</v>
      </c>
    </row>
    <row r="100" spans="1:27" s="47" customFormat="1" ht="31.5" customHeight="1">
      <c r="A100" s="88">
        <v>1</v>
      </c>
      <c r="B100" s="88">
        <f>VLOOKUP(A100, COSTS!$B$7:$C$13, 2, FALSE)</f>
        <v>65</v>
      </c>
      <c r="C100" s="88" t="s">
        <v>268</v>
      </c>
      <c r="D100" s="89">
        <v>45927</v>
      </c>
      <c r="E100" s="89">
        <v>46018</v>
      </c>
      <c r="F100" s="90" t="s">
        <v>269</v>
      </c>
      <c r="G100" s="90" t="s">
        <v>197</v>
      </c>
      <c r="H100" s="91">
        <f t="shared" ca="1" si="3"/>
        <v>46020.437982060183</v>
      </c>
      <c r="I100" s="92">
        <f t="shared" ca="1" si="4"/>
        <v>-2.4379820601825486</v>
      </c>
      <c r="J100" s="93" t="str">
        <f t="shared" ca="1" si="5"/>
        <v>EXPIRED</v>
      </c>
      <c r="K100" s="93" t="s">
        <v>404</v>
      </c>
    </row>
    <row r="101" spans="1:27" s="47" customFormat="1" ht="31.5" customHeight="1">
      <c r="A101" s="88">
        <v>12</v>
      </c>
      <c r="B101" s="88">
        <f>VLOOKUP(A101, COSTS!$B$7:$C$13, 2, FALSE)</f>
        <v>450</v>
      </c>
      <c r="C101" s="88" t="s">
        <v>154</v>
      </c>
      <c r="D101" s="89">
        <v>45926</v>
      </c>
      <c r="E101" s="89">
        <v>46291</v>
      </c>
      <c r="F101" s="90" t="s">
        <v>328</v>
      </c>
      <c r="G101" s="90" t="s">
        <v>329</v>
      </c>
      <c r="H101" s="91">
        <f t="shared" ca="1" si="3"/>
        <v>46020.437982060183</v>
      </c>
      <c r="I101" s="92">
        <f t="shared" ca="1" si="4"/>
        <v>270.56201793981745</v>
      </c>
      <c r="J101" s="93" t="str">
        <f t="shared" ca="1" si="5"/>
        <v>ACTIVE</v>
      </c>
      <c r="K101" s="93" t="s">
        <v>404</v>
      </c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 spans="1:27" s="47" customFormat="1" ht="31.5" customHeight="1">
      <c r="A102" s="88">
        <v>6</v>
      </c>
      <c r="B102" s="88">
        <f>VLOOKUP(A102, COSTS!$B$7:$C$13, 2, FALSE)</f>
        <v>325</v>
      </c>
      <c r="C102" s="88" t="s">
        <v>154</v>
      </c>
      <c r="D102" s="89">
        <v>45926</v>
      </c>
      <c r="E102" s="89">
        <v>46107</v>
      </c>
      <c r="F102" s="90">
        <v>260763110774</v>
      </c>
      <c r="G102" s="90" t="s">
        <v>330</v>
      </c>
      <c r="H102" s="91">
        <f t="shared" ca="1" si="3"/>
        <v>46020.437982060183</v>
      </c>
      <c r="I102" s="92">
        <f t="shared" ca="1" si="4"/>
        <v>86.562017939817451</v>
      </c>
      <c r="J102" s="93" t="str">
        <f t="shared" ca="1" si="5"/>
        <v>ACTIVE</v>
      </c>
      <c r="K102" s="93" t="s">
        <v>404</v>
      </c>
    </row>
    <row r="103" spans="1:27" s="47" customFormat="1" ht="31.5" customHeight="1">
      <c r="A103" s="97">
        <v>3</v>
      </c>
      <c r="B103" s="88">
        <f>VLOOKUP(A103, COSTS!$B$7:$C$13, 2, FALSE)</f>
        <v>185</v>
      </c>
      <c r="C103" s="97" t="s">
        <v>30</v>
      </c>
      <c r="D103" s="98">
        <v>45926</v>
      </c>
      <c r="E103" s="98">
        <v>46017</v>
      </c>
      <c r="F103" s="99">
        <v>761090139</v>
      </c>
      <c r="G103" s="99" t="s">
        <v>64</v>
      </c>
      <c r="H103" s="91">
        <f t="shared" ca="1" si="3"/>
        <v>46020.437982060183</v>
      </c>
      <c r="I103" s="92">
        <f t="shared" ca="1" si="4"/>
        <v>-3.4379820601825486</v>
      </c>
      <c r="J103" s="93" t="str">
        <f t="shared" ca="1" si="5"/>
        <v>EXPIRED</v>
      </c>
      <c r="K103" s="93" t="s">
        <v>404</v>
      </c>
    </row>
    <row r="104" spans="1:27" s="47" customFormat="1" ht="31.5" customHeight="1">
      <c r="A104" s="88">
        <v>1</v>
      </c>
      <c r="B104" s="88">
        <f>VLOOKUP(A104, COSTS!$B$7:$C$13, 2, FALSE)</f>
        <v>65</v>
      </c>
      <c r="C104" s="88" t="s">
        <v>154</v>
      </c>
      <c r="D104" s="89">
        <v>45926</v>
      </c>
      <c r="E104" s="100">
        <v>46017</v>
      </c>
      <c r="F104" s="90">
        <v>764986106</v>
      </c>
      <c r="G104" s="90" t="s">
        <v>327</v>
      </c>
      <c r="H104" s="91">
        <f t="shared" ca="1" si="3"/>
        <v>46020.437982060183</v>
      </c>
      <c r="I104" s="92">
        <f t="shared" ca="1" si="4"/>
        <v>-3.4379820601825486</v>
      </c>
      <c r="J104" s="93" t="str">
        <f t="shared" ca="1" si="5"/>
        <v>EXPIRED</v>
      </c>
      <c r="K104" s="93" t="s">
        <v>404</v>
      </c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 spans="1:27" s="47" customFormat="1" ht="31.5" customHeight="1">
      <c r="A105" s="88">
        <v>2</v>
      </c>
      <c r="B105" s="88">
        <f>VLOOKUP(A105, COSTS!$B$7:$C$13, 2, FALSE)</f>
        <v>125</v>
      </c>
      <c r="C105" s="88" t="s">
        <v>331</v>
      </c>
      <c r="D105" s="89">
        <v>45926</v>
      </c>
      <c r="E105" s="100">
        <v>46017</v>
      </c>
      <c r="F105" s="90" t="s">
        <v>332</v>
      </c>
      <c r="G105" s="90" t="s">
        <v>333</v>
      </c>
      <c r="H105" s="91">
        <f t="shared" ca="1" si="3"/>
        <v>46020.437982060183</v>
      </c>
      <c r="I105" s="92">
        <f t="shared" ca="1" si="4"/>
        <v>-3.4379820601825486</v>
      </c>
      <c r="J105" s="93" t="str">
        <f t="shared" ca="1" si="5"/>
        <v>EXPIRED</v>
      </c>
      <c r="K105" s="93" t="s">
        <v>404</v>
      </c>
    </row>
    <row r="106" spans="1:27" s="47" customFormat="1" ht="31.5" customHeight="1">
      <c r="A106" s="94">
        <v>6</v>
      </c>
      <c r="B106" s="88">
        <f>VLOOKUP(A106, COSTS!$B$7:$C$13, 2, FALSE)</f>
        <v>325</v>
      </c>
      <c r="C106" s="94" t="s">
        <v>116</v>
      </c>
      <c r="D106" s="95">
        <v>45923</v>
      </c>
      <c r="E106" s="101">
        <v>46076</v>
      </c>
      <c r="F106" s="96" t="s">
        <v>117</v>
      </c>
      <c r="G106" s="96" t="s">
        <v>118</v>
      </c>
      <c r="H106" s="91">
        <f t="shared" ca="1" si="3"/>
        <v>46020.437982060183</v>
      </c>
      <c r="I106" s="92">
        <f t="shared" ca="1" si="4"/>
        <v>55.562017939817451</v>
      </c>
      <c r="J106" s="93" t="str">
        <f t="shared" ca="1" si="5"/>
        <v>ACTIVE</v>
      </c>
      <c r="K106" s="93" t="s">
        <v>404</v>
      </c>
    </row>
    <row r="107" spans="1:27" s="47" customFormat="1" ht="31.5" customHeight="1">
      <c r="A107" s="88">
        <v>6</v>
      </c>
      <c r="B107" s="88">
        <f>VLOOKUP(A107, COSTS!$B$7:$C$13, 2, FALSE)</f>
        <v>325</v>
      </c>
      <c r="C107" s="88" t="s">
        <v>303</v>
      </c>
      <c r="D107" s="89">
        <v>45919</v>
      </c>
      <c r="E107" s="89">
        <v>46131</v>
      </c>
      <c r="F107" s="90" t="s">
        <v>304</v>
      </c>
      <c r="G107" s="90" t="s">
        <v>305</v>
      </c>
      <c r="H107" s="91">
        <f t="shared" ca="1" si="3"/>
        <v>46020.437982060183</v>
      </c>
      <c r="I107" s="92">
        <f t="shared" ca="1" si="4"/>
        <v>110.56201793981745</v>
      </c>
      <c r="J107" s="93" t="str">
        <f t="shared" ca="1" si="5"/>
        <v>ACTIVE</v>
      </c>
      <c r="K107" s="93" t="s">
        <v>404</v>
      </c>
    </row>
    <row r="108" spans="1:27" s="47" customFormat="1" ht="31.5" customHeight="1">
      <c r="A108" s="97">
        <v>2</v>
      </c>
      <c r="B108" s="88">
        <f>VLOOKUP(A108, COSTS!$B$7:$C$13, 2, FALSE)</f>
        <v>125</v>
      </c>
      <c r="C108" s="97" t="s">
        <v>140</v>
      </c>
      <c r="D108" s="98">
        <v>45918</v>
      </c>
      <c r="E108" s="98">
        <v>46071</v>
      </c>
      <c r="F108" s="99" t="s">
        <v>141</v>
      </c>
      <c r="G108" s="99" t="s">
        <v>142</v>
      </c>
      <c r="H108" s="91">
        <f t="shared" ca="1" si="3"/>
        <v>46020.437982060183</v>
      </c>
      <c r="I108" s="92">
        <f t="shared" ca="1" si="4"/>
        <v>50.562017939817451</v>
      </c>
      <c r="J108" s="93" t="str">
        <f t="shared" ca="1" si="5"/>
        <v>ACTIVE</v>
      </c>
      <c r="K108" s="93" t="s">
        <v>404</v>
      </c>
    </row>
    <row r="109" spans="1:27" s="47" customFormat="1" ht="31.5" customHeight="1">
      <c r="A109" s="94">
        <v>2</v>
      </c>
      <c r="B109" s="88">
        <f>VLOOKUP(A109, COSTS!$B$7:$C$13, 2, FALSE)</f>
        <v>125</v>
      </c>
      <c r="C109" s="94" t="s">
        <v>19</v>
      </c>
      <c r="D109" s="95">
        <v>45915</v>
      </c>
      <c r="E109" s="95">
        <v>46006</v>
      </c>
      <c r="F109" s="96">
        <v>774463088</v>
      </c>
      <c r="G109" s="96" t="s">
        <v>20</v>
      </c>
      <c r="H109" s="91">
        <f t="shared" ca="1" si="3"/>
        <v>46020.437982060183</v>
      </c>
      <c r="I109" s="92">
        <f t="shared" ca="1" si="4"/>
        <v>-14.437982060182549</v>
      </c>
      <c r="J109" s="93" t="str">
        <f t="shared" ca="1" si="5"/>
        <v>EXPIRED</v>
      </c>
      <c r="K109" s="93" t="s">
        <v>404</v>
      </c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 spans="1:27" s="47" customFormat="1" ht="31.5" customHeight="1">
      <c r="A110" s="88">
        <v>6</v>
      </c>
      <c r="B110" s="88">
        <f>VLOOKUP(A110, COSTS!$B$7:$C$13, 2, FALSE)</f>
        <v>325</v>
      </c>
      <c r="C110" s="88" t="s">
        <v>140</v>
      </c>
      <c r="D110" s="89">
        <v>45914</v>
      </c>
      <c r="E110" s="89">
        <v>46067</v>
      </c>
      <c r="F110" s="90" t="s">
        <v>313</v>
      </c>
      <c r="G110" s="90" t="s">
        <v>314</v>
      </c>
      <c r="H110" s="91">
        <f t="shared" ca="1" si="3"/>
        <v>46020.437982060183</v>
      </c>
      <c r="I110" s="92">
        <f t="shared" ca="1" si="4"/>
        <v>46.562017939817451</v>
      </c>
      <c r="J110" s="93" t="str">
        <f t="shared" ca="1" si="5"/>
        <v>ACTIVE</v>
      </c>
      <c r="K110" s="93" t="s">
        <v>404</v>
      </c>
    </row>
    <row r="111" spans="1:27" s="47" customFormat="1" ht="31.5" customHeight="1">
      <c r="A111" s="88">
        <v>3</v>
      </c>
      <c r="B111" s="88">
        <f>VLOOKUP(A111, COSTS!$B$7:$C$13, 2, FALSE)</f>
        <v>185</v>
      </c>
      <c r="C111" s="88" t="s">
        <v>94</v>
      </c>
      <c r="D111" s="89">
        <v>45913</v>
      </c>
      <c r="E111" s="89">
        <v>46004</v>
      </c>
      <c r="F111" s="90">
        <v>779468957</v>
      </c>
      <c r="G111" s="90" t="s">
        <v>287</v>
      </c>
      <c r="H111" s="91">
        <f t="shared" ca="1" si="3"/>
        <v>46020.437982060183</v>
      </c>
      <c r="I111" s="92">
        <f t="shared" ca="1" si="4"/>
        <v>-16.437982060182549</v>
      </c>
      <c r="J111" s="93" t="str">
        <f t="shared" ca="1" si="5"/>
        <v>EXPIRED</v>
      </c>
      <c r="K111" s="93" t="s">
        <v>404</v>
      </c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 spans="1:27" s="47" customFormat="1" ht="31.5" customHeight="1">
      <c r="A112" s="88">
        <v>6</v>
      </c>
      <c r="B112" s="88">
        <f>VLOOKUP(A112, COSTS!$B$7:$C$13, 2, FALSE)</f>
        <v>325</v>
      </c>
      <c r="C112" s="88" t="s">
        <v>116</v>
      </c>
      <c r="D112" s="89">
        <v>45912</v>
      </c>
      <c r="E112" s="89">
        <v>46093</v>
      </c>
      <c r="F112" s="90" t="s">
        <v>202</v>
      </c>
      <c r="G112" s="90" t="s">
        <v>203</v>
      </c>
      <c r="H112" s="91">
        <f t="shared" ca="1" si="3"/>
        <v>46020.437982060183</v>
      </c>
      <c r="I112" s="92">
        <f t="shared" ca="1" si="4"/>
        <v>72.562017939817451</v>
      </c>
      <c r="J112" s="93" t="str">
        <f t="shared" ca="1" si="5"/>
        <v>ACTIVE</v>
      </c>
      <c r="K112" s="93" t="s">
        <v>404</v>
      </c>
    </row>
    <row r="113" spans="1:27" s="47" customFormat="1" ht="31.5" customHeight="1">
      <c r="A113" s="88">
        <v>6</v>
      </c>
      <c r="B113" s="88">
        <f>VLOOKUP(A113, COSTS!$B$7:$C$13, 2, FALSE)</f>
        <v>325</v>
      </c>
      <c r="C113" s="88"/>
      <c r="D113" s="89">
        <v>45910</v>
      </c>
      <c r="E113" s="100">
        <v>46091</v>
      </c>
      <c r="F113" s="90">
        <v>260777137157</v>
      </c>
      <c r="G113" s="90" t="s">
        <v>210</v>
      </c>
      <c r="H113" s="91">
        <f t="shared" ca="1" si="3"/>
        <v>46020.437982060183</v>
      </c>
      <c r="I113" s="92">
        <f t="shared" ca="1" si="4"/>
        <v>70.562017939817451</v>
      </c>
      <c r="J113" s="93" t="str">
        <f t="shared" ca="1" si="5"/>
        <v>ACTIVE</v>
      </c>
      <c r="K113" s="93" t="s">
        <v>404</v>
      </c>
    </row>
    <row r="114" spans="1:27" s="47" customFormat="1" ht="31.5" customHeight="1">
      <c r="A114" s="88">
        <v>6</v>
      </c>
      <c r="B114" s="88">
        <f>VLOOKUP(A114, COSTS!$B$7:$C$13, 2, FALSE)</f>
        <v>325</v>
      </c>
      <c r="C114" s="88" t="s">
        <v>234</v>
      </c>
      <c r="D114" s="89">
        <v>45909</v>
      </c>
      <c r="E114" s="89">
        <v>46062</v>
      </c>
      <c r="F114" s="90" t="s">
        <v>235</v>
      </c>
      <c r="G114" s="90" t="s">
        <v>236</v>
      </c>
      <c r="H114" s="91">
        <f t="shared" ca="1" si="3"/>
        <v>46020.437982060183</v>
      </c>
      <c r="I114" s="92">
        <f t="shared" ca="1" si="4"/>
        <v>41.562017939817451</v>
      </c>
      <c r="J114" s="93" t="str">
        <f t="shared" ca="1" si="5"/>
        <v>ACTIVE</v>
      </c>
      <c r="K114" s="93" t="s">
        <v>404</v>
      </c>
    </row>
    <row r="115" spans="1:27" s="47" customFormat="1" ht="31.5" customHeight="1">
      <c r="A115" s="88">
        <v>6</v>
      </c>
      <c r="B115" s="88">
        <f>VLOOKUP(A115, COSTS!$B$7:$C$13, 2, FALSE)</f>
        <v>325</v>
      </c>
      <c r="C115" s="88" t="s">
        <v>161</v>
      </c>
      <c r="D115" s="89">
        <v>45907</v>
      </c>
      <c r="E115" s="89">
        <v>46060</v>
      </c>
      <c r="F115" s="90">
        <v>763097214</v>
      </c>
      <c r="G115" s="90" t="s">
        <v>273</v>
      </c>
      <c r="H115" s="91">
        <f t="shared" ca="1" si="3"/>
        <v>46020.437982060183</v>
      </c>
      <c r="I115" s="92">
        <f t="shared" ca="1" si="4"/>
        <v>39.562017939817451</v>
      </c>
      <c r="J115" s="93" t="str">
        <f t="shared" ca="1" si="5"/>
        <v>ACTIVE</v>
      </c>
      <c r="K115" s="93" t="s">
        <v>404</v>
      </c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 spans="1:27" s="47" customFormat="1" ht="31.5" customHeight="1">
      <c r="A116" s="94">
        <v>1</v>
      </c>
      <c r="B116" s="88">
        <f>VLOOKUP(A116, COSTS!$B$7:$C$13, 2, FALSE)</f>
        <v>65</v>
      </c>
      <c r="C116" s="94" t="s">
        <v>17</v>
      </c>
      <c r="D116" s="95">
        <v>45904</v>
      </c>
      <c r="E116" s="95">
        <v>46026</v>
      </c>
      <c r="F116" s="96">
        <v>768914067</v>
      </c>
      <c r="G116" s="96" t="s">
        <v>80</v>
      </c>
      <c r="H116" s="91">
        <f t="shared" ca="1" si="3"/>
        <v>46020.437982060183</v>
      </c>
      <c r="I116" s="92">
        <f t="shared" ca="1" si="4"/>
        <v>5.5620179398174514</v>
      </c>
      <c r="J116" s="93" t="str">
        <f t="shared" ca="1" si="5"/>
        <v>DUE THIS WEEK</v>
      </c>
      <c r="K116" s="93" t="s">
        <v>404</v>
      </c>
    </row>
    <row r="117" spans="1:27" s="47" customFormat="1" ht="31.5" customHeight="1">
      <c r="A117" s="88">
        <v>1</v>
      </c>
      <c r="B117" s="88">
        <f>VLOOKUP(A117, COSTS!$B$7:$C$13, 2, FALSE)</f>
        <v>65</v>
      </c>
      <c r="C117" s="88" t="s">
        <v>15</v>
      </c>
      <c r="D117" s="89">
        <v>45904</v>
      </c>
      <c r="E117" s="89">
        <v>45662</v>
      </c>
      <c r="F117" s="90" t="s">
        <v>244</v>
      </c>
      <c r="G117" s="90" t="s">
        <v>245</v>
      </c>
      <c r="H117" s="91">
        <f t="shared" ca="1" si="3"/>
        <v>46020.437982060183</v>
      </c>
      <c r="I117" s="92">
        <f t="shared" ca="1" si="4"/>
        <v>-358.43798206018255</v>
      </c>
      <c r="J117" s="93" t="str">
        <f t="shared" ca="1" si="5"/>
        <v>EXPIRED</v>
      </c>
      <c r="K117" s="93" t="s">
        <v>404</v>
      </c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spans="1:27" s="47" customFormat="1" ht="31.5" customHeight="1">
      <c r="A118" s="97">
        <v>4</v>
      </c>
      <c r="B118" s="88">
        <f>VLOOKUP(A118, COSTS!$B$7:$C$13, 2, FALSE)</f>
        <v>245</v>
      </c>
      <c r="C118" s="97" t="s">
        <v>97</v>
      </c>
      <c r="D118" s="98">
        <v>45901</v>
      </c>
      <c r="E118" s="98">
        <v>46008</v>
      </c>
      <c r="F118" s="99">
        <v>976833141</v>
      </c>
      <c r="G118" s="99" t="s">
        <v>98</v>
      </c>
      <c r="H118" s="91">
        <f t="shared" ca="1" si="3"/>
        <v>46020.437982060183</v>
      </c>
      <c r="I118" s="92">
        <f t="shared" ca="1" si="4"/>
        <v>-12.437982060182549</v>
      </c>
      <c r="J118" s="93" t="str">
        <f t="shared" ca="1" si="5"/>
        <v>EXPIRED</v>
      </c>
      <c r="K118" s="93" t="s">
        <v>404</v>
      </c>
    </row>
    <row r="119" spans="1:27" s="47" customFormat="1" ht="31.5" customHeight="1">
      <c r="A119" s="88">
        <v>3</v>
      </c>
      <c r="B119" s="88">
        <f>VLOOKUP(A119, COSTS!$B$7:$C$13, 2, FALSE)</f>
        <v>185</v>
      </c>
      <c r="C119" s="88" t="s">
        <v>104</v>
      </c>
      <c r="D119" s="89">
        <v>45901</v>
      </c>
      <c r="E119" s="89">
        <v>45962</v>
      </c>
      <c r="F119" s="90">
        <v>765193794</v>
      </c>
      <c r="G119" s="90" t="s">
        <v>204</v>
      </c>
      <c r="H119" s="91">
        <f t="shared" ca="1" si="3"/>
        <v>46020.437982060183</v>
      </c>
      <c r="I119" s="92">
        <f t="shared" ca="1" si="4"/>
        <v>-58.437982060182549</v>
      </c>
      <c r="J119" s="93" t="str">
        <f t="shared" ca="1" si="5"/>
        <v>EXPIRED</v>
      </c>
      <c r="K119" s="93" t="s">
        <v>404</v>
      </c>
    </row>
    <row r="120" spans="1:27" s="47" customFormat="1" ht="31.5" customHeight="1">
      <c r="A120" s="88"/>
      <c r="B120" s="88"/>
      <c r="C120" s="88" t="s">
        <v>85</v>
      </c>
      <c r="D120" s="89">
        <v>45900</v>
      </c>
      <c r="E120" s="89">
        <v>46050</v>
      </c>
      <c r="F120" s="90" t="s">
        <v>86</v>
      </c>
      <c r="G120" s="90" t="s">
        <v>87</v>
      </c>
      <c r="H120" s="91">
        <f t="shared" ca="1" si="3"/>
        <v>46020.437982060183</v>
      </c>
      <c r="I120" s="92">
        <f t="shared" ca="1" si="4"/>
        <v>29.562017939817451</v>
      </c>
      <c r="J120" s="93" t="str">
        <f t="shared" ca="1" si="5"/>
        <v>DUE THIS MONTH</v>
      </c>
      <c r="K120" s="93" t="s">
        <v>403</v>
      </c>
    </row>
    <row r="121" spans="1:27" s="47" customFormat="1" ht="31.5" customHeight="1">
      <c r="A121" s="94">
        <v>1</v>
      </c>
      <c r="B121" s="88">
        <f>VLOOKUP(A121, COSTS!$B$7:$C$13, 2, FALSE)</f>
        <v>65</v>
      </c>
      <c r="C121" s="94" t="s">
        <v>178</v>
      </c>
      <c r="D121" s="95">
        <v>45898</v>
      </c>
      <c r="E121" s="95">
        <v>46008</v>
      </c>
      <c r="F121" s="96">
        <v>774116261</v>
      </c>
      <c r="G121" s="96" t="s">
        <v>253</v>
      </c>
      <c r="H121" s="91">
        <f t="shared" ca="1" si="3"/>
        <v>46020.437982060183</v>
      </c>
      <c r="I121" s="92">
        <f t="shared" ca="1" si="4"/>
        <v>-12.437982060182549</v>
      </c>
      <c r="J121" s="93" t="str">
        <f t="shared" ca="1" si="5"/>
        <v>EXPIRED</v>
      </c>
      <c r="K121" s="93" t="s">
        <v>403</v>
      </c>
    </row>
    <row r="122" spans="1:27" s="47" customFormat="1" ht="31.5" customHeight="1">
      <c r="A122" s="88">
        <v>6</v>
      </c>
      <c r="B122" s="88">
        <f>VLOOKUP(A122, COSTS!$B$7:$C$13, 2, FALSE)</f>
        <v>325</v>
      </c>
      <c r="C122" s="88" t="s">
        <v>178</v>
      </c>
      <c r="D122" s="89">
        <v>45896</v>
      </c>
      <c r="E122" s="89">
        <v>46080</v>
      </c>
      <c r="F122" s="90">
        <v>770480827</v>
      </c>
      <c r="G122" s="90" t="s">
        <v>179</v>
      </c>
      <c r="H122" s="91">
        <f t="shared" ca="1" si="3"/>
        <v>46020.437982060183</v>
      </c>
      <c r="I122" s="92">
        <f t="shared" ca="1" si="4"/>
        <v>59.562017939817451</v>
      </c>
      <c r="J122" s="93" t="str">
        <f t="shared" ca="1" si="5"/>
        <v>ACTIVE</v>
      </c>
      <c r="K122" s="93" t="s">
        <v>403</v>
      </c>
    </row>
    <row r="123" spans="1:27" s="47" customFormat="1" ht="31.5" customHeight="1">
      <c r="A123" s="88">
        <v>6</v>
      </c>
      <c r="B123" s="88">
        <f>VLOOKUP(A123, COSTS!$B$7:$C$13, 2, FALSE)</f>
        <v>325</v>
      </c>
      <c r="C123" s="88" t="s">
        <v>187</v>
      </c>
      <c r="D123" s="89">
        <v>45896</v>
      </c>
      <c r="E123" s="89">
        <v>46080</v>
      </c>
      <c r="F123" s="90" t="s">
        <v>188</v>
      </c>
      <c r="G123" s="90" t="s">
        <v>189</v>
      </c>
      <c r="H123" s="91">
        <f t="shared" ca="1" si="3"/>
        <v>46020.437982060183</v>
      </c>
      <c r="I123" s="92">
        <f t="shared" ca="1" si="4"/>
        <v>59.562017939817451</v>
      </c>
      <c r="J123" s="93" t="str">
        <f t="shared" ca="1" si="5"/>
        <v>ACTIVE</v>
      </c>
      <c r="K123" s="93" t="s">
        <v>403</v>
      </c>
    </row>
    <row r="124" spans="1:27" s="47" customFormat="1" ht="31.5" customHeight="1">
      <c r="A124" s="94">
        <v>3</v>
      </c>
      <c r="B124" s="88">
        <f>VLOOKUP(A124, COSTS!$B$7:$C$13, 2, FALSE)</f>
        <v>185</v>
      </c>
      <c r="C124" s="94" t="s">
        <v>41</v>
      </c>
      <c r="D124" s="101">
        <v>45895</v>
      </c>
      <c r="E124" s="95">
        <v>46048</v>
      </c>
      <c r="F124" s="96">
        <v>961194409</v>
      </c>
      <c r="G124" s="96" t="s">
        <v>42</v>
      </c>
      <c r="H124" s="91">
        <f t="shared" ca="1" si="3"/>
        <v>46020.437982060183</v>
      </c>
      <c r="I124" s="92">
        <f t="shared" ca="1" si="4"/>
        <v>27.562017939817451</v>
      </c>
      <c r="J124" s="93" t="str">
        <f t="shared" ca="1" si="5"/>
        <v>DUE THIS MONTH</v>
      </c>
      <c r="K124" s="93" t="s">
        <v>403</v>
      </c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spans="1:27" s="47" customFormat="1" ht="31.5" customHeight="1">
      <c r="A125" s="88">
        <v>6</v>
      </c>
      <c r="B125" s="88">
        <f>VLOOKUP(A125, COSTS!$B$7:$C$13, 2, FALSE)</f>
        <v>325</v>
      </c>
      <c r="C125" s="88" t="s">
        <v>161</v>
      </c>
      <c r="D125" s="89">
        <v>45894</v>
      </c>
      <c r="E125" s="89">
        <v>46078</v>
      </c>
      <c r="F125" s="90">
        <v>770480827</v>
      </c>
      <c r="G125" s="90" t="s">
        <v>220</v>
      </c>
      <c r="H125" s="91">
        <f t="shared" ca="1" si="3"/>
        <v>46020.437982060183</v>
      </c>
      <c r="I125" s="92">
        <f t="shared" ca="1" si="4"/>
        <v>57.562017939817451</v>
      </c>
      <c r="J125" s="93" t="str">
        <f t="shared" ca="1" si="5"/>
        <v>ACTIVE</v>
      </c>
      <c r="K125" s="93" t="s">
        <v>403</v>
      </c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spans="1:27" s="47" customFormat="1" ht="31.5" customHeight="1">
      <c r="A126" s="88">
        <v>6</v>
      </c>
      <c r="B126" s="88">
        <f>VLOOKUP(A126, COSTS!$B$7:$C$13, 2, FALSE)</f>
        <v>325</v>
      </c>
      <c r="C126" s="88" t="s">
        <v>178</v>
      </c>
      <c r="D126" s="89">
        <v>45894</v>
      </c>
      <c r="E126" s="89">
        <v>46078</v>
      </c>
      <c r="F126" s="90" t="s">
        <v>263</v>
      </c>
      <c r="G126" s="90" t="s">
        <v>161</v>
      </c>
      <c r="H126" s="91">
        <f t="shared" ca="1" si="3"/>
        <v>46020.437982060183</v>
      </c>
      <c r="I126" s="92">
        <f t="shared" ca="1" si="4"/>
        <v>57.562017939817451</v>
      </c>
      <c r="J126" s="93" t="str">
        <f t="shared" ca="1" si="5"/>
        <v>ACTIVE</v>
      </c>
      <c r="K126" s="93" t="s">
        <v>403</v>
      </c>
    </row>
    <row r="127" spans="1:27" s="47" customFormat="1" ht="31.5" customHeight="1">
      <c r="A127" s="94">
        <v>1</v>
      </c>
      <c r="B127" s="88">
        <f>VLOOKUP(A127, COSTS!$B$7:$C$13, 2, FALSE)</f>
        <v>65</v>
      </c>
      <c r="C127" s="94" t="s">
        <v>30</v>
      </c>
      <c r="D127" s="95">
        <v>45894</v>
      </c>
      <c r="E127" s="95">
        <v>46016</v>
      </c>
      <c r="F127" s="96" t="s">
        <v>185</v>
      </c>
      <c r="G127" s="96" t="s">
        <v>186</v>
      </c>
      <c r="H127" s="91">
        <f t="shared" ca="1" si="3"/>
        <v>46020.437982060183</v>
      </c>
      <c r="I127" s="92">
        <f t="shared" ca="1" si="4"/>
        <v>-4.4379820601825486</v>
      </c>
      <c r="J127" s="93" t="str">
        <f t="shared" ca="1" si="5"/>
        <v>EXPIRED</v>
      </c>
      <c r="K127" s="93" t="s">
        <v>403</v>
      </c>
    </row>
    <row r="128" spans="1:27" s="47" customFormat="1" ht="31.5" customHeight="1">
      <c r="A128" s="88">
        <v>6</v>
      </c>
      <c r="B128" s="88">
        <f>VLOOKUP(A128, COSTS!$B$7:$C$13, 2, FALSE)</f>
        <v>325</v>
      </c>
      <c r="C128" s="88" t="s">
        <v>322</v>
      </c>
      <c r="D128" s="89">
        <v>45892</v>
      </c>
      <c r="E128" s="89">
        <v>46045</v>
      </c>
      <c r="F128" s="90" t="s">
        <v>323</v>
      </c>
      <c r="G128" s="90" t="s">
        <v>70</v>
      </c>
      <c r="H128" s="91">
        <f t="shared" ca="1" si="3"/>
        <v>46020.437982060183</v>
      </c>
      <c r="I128" s="92">
        <f t="shared" ca="1" si="4"/>
        <v>24.562017939817451</v>
      </c>
      <c r="J128" s="93" t="str">
        <f t="shared" ca="1" si="5"/>
        <v>DUE THIS MONTH</v>
      </c>
      <c r="K128" s="93" t="s">
        <v>403</v>
      </c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spans="1:27" s="47" customFormat="1" ht="31.5" customHeight="1">
      <c r="A129" s="94">
        <v>1</v>
      </c>
      <c r="B129" s="88">
        <f>VLOOKUP(A129, COSTS!$B$7:$C$13, 2, FALSE)</f>
        <v>65</v>
      </c>
      <c r="C129" s="94" t="s">
        <v>21</v>
      </c>
      <c r="D129" s="95">
        <v>45891</v>
      </c>
      <c r="E129" s="95">
        <v>46075</v>
      </c>
      <c r="F129" s="96">
        <v>978902466</v>
      </c>
      <c r="G129" s="96" t="s">
        <v>22</v>
      </c>
      <c r="H129" s="91">
        <f t="shared" ca="1" si="3"/>
        <v>46020.437982060183</v>
      </c>
      <c r="I129" s="92">
        <f t="shared" ca="1" si="4"/>
        <v>54.562017939817451</v>
      </c>
      <c r="J129" s="93" t="str">
        <f t="shared" ca="1" si="5"/>
        <v>ACTIVE</v>
      </c>
      <c r="K129" s="93" t="s">
        <v>403</v>
      </c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spans="1:27" s="47" customFormat="1" ht="31.5" customHeight="1">
      <c r="A130" s="88">
        <v>6</v>
      </c>
      <c r="B130" s="88">
        <f>VLOOKUP(A130, COSTS!$B$7:$C$13, 2, FALSE)</f>
        <v>325</v>
      </c>
      <c r="C130" s="88"/>
      <c r="D130" s="89">
        <v>45891</v>
      </c>
      <c r="E130" s="89">
        <v>46044</v>
      </c>
      <c r="F130" s="90" t="s">
        <v>205</v>
      </c>
      <c r="G130" s="90" t="s">
        <v>206</v>
      </c>
      <c r="H130" s="91">
        <f t="shared" ref="H130:H193" ca="1" si="6">NOW()</f>
        <v>46020.437982060183</v>
      </c>
      <c r="I130" s="92">
        <f t="shared" ref="I130:I193" ca="1" si="7">E130-H130</f>
        <v>23.562017939817451</v>
      </c>
      <c r="J130" s="93" t="str">
        <f t="shared" ref="J130:J193" ca="1" si="8">IF(I130&lt;=0, "EXPIRED",
 IF(I130&lt;=7, "DUE THIS WEEK",
 IF(I130&lt;=30, "DUE THIS MONTH", "ACTIVE")))</f>
        <v>DUE THIS MONTH</v>
      </c>
      <c r="K130" s="93" t="s">
        <v>403</v>
      </c>
    </row>
    <row r="131" spans="1:27" s="47" customFormat="1" ht="31.5" customHeight="1">
      <c r="A131" s="88">
        <v>3</v>
      </c>
      <c r="B131" s="88">
        <f>VLOOKUP(A131, COSTS!$B$7:$C$13, 2, FALSE)</f>
        <v>185</v>
      </c>
      <c r="C131" s="88" t="s">
        <v>311</v>
      </c>
      <c r="D131" s="89">
        <v>45888</v>
      </c>
      <c r="E131" s="100">
        <v>45980</v>
      </c>
      <c r="F131" s="90" t="s">
        <v>317</v>
      </c>
      <c r="G131" s="90" t="s">
        <v>318</v>
      </c>
      <c r="H131" s="91">
        <f t="shared" ca="1" si="6"/>
        <v>46020.437982060183</v>
      </c>
      <c r="I131" s="92">
        <f t="shared" ca="1" si="7"/>
        <v>-40.437982060182549</v>
      </c>
      <c r="J131" s="93" t="str">
        <f t="shared" ca="1" si="8"/>
        <v>EXPIRED</v>
      </c>
      <c r="K131" s="93" t="s">
        <v>403</v>
      </c>
    </row>
    <row r="132" spans="1:27" s="47" customFormat="1" ht="31.5" customHeight="1">
      <c r="A132" s="97">
        <v>5</v>
      </c>
      <c r="B132" s="88">
        <f>VLOOKUP(A132, COSTS!$B$7:$C$13, 2, FALSE)</f>
        <v>275</v>
      </c>
      <c r="C132" s="97" t="s">
        <v>112</v>
      </c>
      <c r="D132" s="98">
        <v>45886</v>
      </c>
      <c r="E132" s="98">
        <v>46070</v>
      </c>
      <c r="F132" s="99">
        <v>979400255</v>
      </c>
      <c r="G132" s="99" t="s">
        <v>112</v>
      </c>
      <c r="H132" s="91">
        <f t="shared" ca="1" si="6"/>
        <v>46020.437982060183</v>
      </c>
      <c r="I132" s="92">
        <f t="shared" ca="1" si="7"/>
        <v>49.562017939817451</v>
      </c>
      <c r="J132" s="93" t="str">
        <f t="shared" ca="1" si="8"/>
        <v>ACTIVE</v>
      </c>
      <c r="K132" s="93" t="s">
        <v>403</v>
      </c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 spans="1:27" s="47" customFormat="1" ht="31.5" customHeight="1">
      <c r="A133" s="94">
        <v>6</v>
      </c>
      <c r="B133" s="88">
        <f>VLOOKUP(A133, COSTS!$B$7:$C$13, 2, FALSE)</f>
        <v>325</v>
      </c>
      <c r="C133" s="94"/>
      <c r="D133" s="95">
        <v>45882</v>
      </c>
      <c r="E133" s="95">
        <v>46094</v>
      </c>
      <c r="F133" s="96">
        <v>772439721</v>
      </c>
      <c r="G133" s="96" t="s">
        <v>170</v>
      </c>
      <c r="H133" s="91">
        <f t="shared" ca="1" si="6"/>
        <v>46020.437982060183</v>
      </c>
      <c r="I133" s="92">
        <f t="shared" ca="1" si="7"/>
        <v>73.562017939817451</v>
      </c>
      <c r="J133" s="93" t="str">
        <f t="shared" ca="1" si="8"/>
        <v>ACTIVE</v>
      </c>
      <c r="K133" s="93" t="s">
        <v>403</v>
      </c>
    </row>
    <row r="134" spans="1:27" s="47" customFormat="1" ht="31.5" customHeight="1">
      <c r="A134" s="88"/>
      <c r="B134" s="88"/>
      <c r="C134" s="88"/>
      <c r="D134" s="89">
        <v>45882</v>
      </c>
      <c r="E134" s="89">
        <v>46035</v>
      </c>
      <c r="F134" s="90" t="s">
        <v>246</v>
      </c>
      <c r="G134" s="90" t="s">
        <v>247</v>
      </c>
      <c r="H134" s="91">
        <f t="shared" ca="1" si="6"/>
        <v>46020.437982060183</v>
      </c>
      <c r="I134" s="92">
        <f t="shared" ca="1" si="7"/>
        <v>14.562017939817451</v>
      </c>
      <c r="J134" s="93" t="str">
        <f t="shared" ca="1" si="8"/>
        <v>DUE THIS MONTH</v>
      </c>
      <c r="K134" s="93" t="s">
        <v>403</v>
      </c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 spans="1:27" s="47" customFormat="1" ht="31.5" customHeight="1">
      <c r="A135" s="88">
        <v>1</v>
      </c>
      <c r="B135" s="88">
        <f>VLOOKUP(A135, COSTS!$B$7:$C$13, 2, FALSE)</f>
        <v>65</v>
      </c>
      <c r="C135" s="88" t="s">
        <v>183</v>
      </c>
      <c r="D135" s="89">
        <v>45879</v>
      </c>
      <c r="E135" s="89">
        <v>45910</v>
      </c>
      <c r="F135" s="90">
        <v>779466625</v>
      </c>
      <c r="G135" s="90" t="s">
        <v>308</v>
      </c>
      <c r="H135" s="91">
        <f t="shared" ca="1" si="6"/>
        <v>46020.437982060183</v>
      </c>
      <c r="I135" s="92">
        <f t="shared" ca="1" si="7"/>
        <v>-110.43798206018255</v>
      </c>
      <c r="J135" s="93" t="str">
        <f t="shared" ca="1" si="8"/>
        <v>EXPIRED</v>
      </c>
      <c r="K135" s="93" t="s">
        <v>403</v>
      </c>
    </row>
    <row r="136" spans="1:27" s="47" customFormat="1" ht="31.5" customHeight="1">
      <c r="A136" s="94">
        <v>12</v>
      </c>
      <c r="B136" s="88">
        <f>VLOOKUP(A136, COSTS!$B$7:$C$13, 2, FALSE)</f>
        <v>450</v>
      </c>
      <c r="C136" s="94"/>
      <c r="D136" s="95">
        <v>45877</v>
      </c>
      <c r="E136" s="95">
        <v>46242</v>
      </c>
      <c r="F136" s="96">
        <v>765924713</v>
      </c>
      <c r="G136" s="96" t="s">
        <v>121</v>
      </c>
      <c r="H136" s="91">
        <f t="shared" ca="1" si="6"/>
        <v>46020.437982060183</v>
      </c>
      <c r="I136" s="92">
        <f t="shared" ca="1" si="7"/>
        <v>221.56201793981745</v>
      </c>
      <c r="J136" s="93" t="str">
        <f t="shared" ca="1" si="8"/>
        <v>ACTIVE</v>
      </c>
      <c r="K136" s="93" t="s">
        <v>403</v>
      </c>
    </row>
    <row r="137" spans="1:27" s="47" customFormat="1" ht="31.5" customHeight="1">
      <c r="A137" s="94">
        <v>1</v>
      </c>
      <c r="B137" s="88">
        <f>VLOOKUP(A137, COSTS!$B$7:$C$13, 2, FALSE)</f>
        <v>65</v>
      </c>
      <c r="C137" s="105" t="s">
        <v>15</v>
      </c>
      <c r="D137" s="95">
        <v>45877</v>
      </c>
      <c r="E137" s="95">
        <v>46030</v>
      </c>
      <c r="F137" s="96" t="s">
        <v>33</v>
      </c>
      <c r="G137" s="96" t="s">
        <v>34</v>
      </c>
      <c r="H137" s="91">
        <f t="shared" ca="1" si="6"/>
        <v>46020.437982060183</v>
      </c>
      <c r="I137" s="92">
        <f t="shared" ca="1" si="7"/>
        <v>9.5620179398174514</v>
      </c>
      <c r="J137" s="93" t="str">
        <f t="shared" ca="1" si="8"/>
        <v>DUE THIS MONTH</v>
      </c>
      <c r="K137" s="93" t="s">
        <v>403</v>
      </c>
    </row>
    <row r="138" spans="1:27" s="47" customFormat="1" ht="31.5" customHeight="1">
      <c r="A138" s="88">
        <v>6</v>
      </c>
      <c r="B138" s="88">
        <f>VLOOKUP(A138, COSTS!$B$7:$C$13, 2, FALSE)</f>
        <v>325</v>
      </c>
      <c r="C138" s="88"/>
      <c r="D138" s="89">
        <v>45877</v>
      </c>
      <c r="E138" s="89">
        <v>46030</v>
      </c>
      <c r="F138" s="90" t="s">
        <v>306</v>
      </c>
      <c r="G138" s="90" t="s">
        <v>307</v>
      </c>
      <c r="H138" s="91">
        <f t="shared" ca="1" si="6"/>
        <v>46020.437982060183</v>
      </c>
      <c r="I138" s="92">
        <f t="shared" ca="1" si="7"/>
        <v>9.5620179398174514</v>
      </c>
      <c r="J138" s="93" t="str">
        <f t="shared" ca="1" si="8"/>
        <v>DUE THIS MONTH</v>
      </c>
      <c r="K138" s="93" t="s">
        <v>403</v>
      </c>
    </row>
    <row r="139" spans="1:27" s="47" customFormat="1" ht="31.5" customHeight="1">
      <c r="A139" s="88">
        <v>2</v>
      </c>
      <c r="B139" s="88">
        <f>VLOOKUP(A139, COSTS!$B$7:$C$13, 2, FALSE)</f>
        <v>125</v>
      </c>
      <c r="C139" s="88" t="s">
        <v>94</v>
      </c>
      <c r="D139" s="89">
        <v>45876</v>
      </c>
      <c r="E139" s="89">
        <v>46010</v>
      </c>
      <c r="F139" s="90" t="s">
        <v>228</v>
      </c>
      <c r="G139" s="90" t="s">
        <v>229</v>
      </c>
      <c r="H139" s="91">
        <f t="shared" ca="1" si="6"/>
        <v>46020.437982060183</v>
      </c>
      <c r="I139" s="92">
        <f t="shared" ca="1" si="7"/>
        <v>-10.437982060182549</v>
      </c>
      <c r="J139" s="93" t="str">
        <f t="shared" ca="1" si="8"/>
        <v>EXPIRED</v>
      </c>
      <c r="K139" s="93" t="s">
        <v>403</v>
      </c>
    </row>
    <row r="140" spans="1:27" s="47" customFormat="1" ht="31.5" customHeight="1">
      <c r="A140" s="88"/>
      <c r="B140" s="88"/>
      <c r="C140" s="88"/>
      <c r="D140" s="89">
        <v>45874</v>
      </c>
      <c r="E140" s="89">
        <v>46300</v>
      </c>
      <c r="F140" s="90" t="s">
        <v>284</v>
      </c>
      <c r="G140" s="90" t="s">
        <v>285</v>
      </c>
      <c r="H140" s="91">
        <f t="shared" ca="1" si="6"/>
        <v>46020.437982060183</v>
      </c>
      <c r="I140" s="92">
        <f t="shared" ca="1" si="7"/>
        <v>279.56201793981745</v>
      </c>
      <c r="J140" s="93" t="str">
        <f t="shared" ca="1" si="8"/>
        <v>ACTIVE</v>
      </c>
      <c r="K140" s="93" t="s">
        <v>403</v>
      </c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 spans="1:27" s="47" customFormat="1" ht="31.5" customHeight="1">
      <c r="A141" s="97">
        <v>2</v>
      </c>
      <c r="B141" s="88">
        <f>VLOOKUP(A141, COSTS!$B$7:$C$13, 2, FALSE)</f>
        <v>125</v>
      </c>
      <c r="C141" s="97" t="s">
        <v>97</v>
      </c>
      <c r="D141" s="98">
        <v>45871</v>
      </c>
      <c r="E141" s="98">
        <v>45659</v>
      </c>
      <c r="F141" s="99">
        <f>260779201901</f>
        <v>260779201901</v>
      </c>
      <c r="G141" s="99" t="s">
        <v>126</v>
      </c>
      <c r="H141" s="91">
        <f t="shared" ca="1" si="6"/>
        <v>46020.437982060183</v>
      </c>
      <c r="I141" s="92">
        <f t="shared" ca="1" si="7"/>
        <v>-361.43798206018255</v>
      </c>
      <c r="J141" s="93" t="str">
        <f t="shared" ca="1" si="8"/>
        <v>EXPIRED</v>
      </c>
      <c r="K141" s="93" t="s">
        <v>403</v>
      </c>
    </row>
    <row r="142" spans="1:27" s="47" customFormat="1" ht="31.5" customHeight="1">
      <c r="A142" s="88">
        <v>2</v>
      </c>
      <c r="B142" s="88">
        <f>VLOOKUP(A142, COSTS!$B$7:$C$13, 2, FALSE)</f>
        <v>125</v>
      </c>
      <c r="C142" s="88" t="s">
        <v>74</v>
      </c>
      <c r="D142" s="89">
        <v>45870</v>
      </c>
      <c r="E142" s="89">
        <v>45999</v>
      </c>
      <c r="F142" s="90" t="s">
        <v>230</v>
      </c>
      <c r="G142" s="90" t="s">
        <v>231</v>
      </c>
      <c r="H142" s="91">
        <f t="shared" ca="1" si="6"/>
        <v>46020.437982060183</v>
      </c>
      <c r="I142" s="92">
        <f t="shared" ca="1" si="7"/>
        <v>-21.437982060182549</v>
      </c>
      <c r="J142" s="93" t="str">
        <f t="shared" ca="1" si="8"/>
        <v>EXPIRED</v>
      </c>
      <c r="K142" s="93" t="s">
        <v>403</v>
      </c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 spans="1:27" s="47" customFormat="1" ht="31.5" customHeight="1">
      <c r="A143" s="88">
        <v>2</v>
      </c>
      <c r="B143" s="88">
        <f>VLOOKUP(A143, COSTS!$B$7:$C$13, 2, FALSE)</f>
        <v>125</v>
      </c>
      <c r="C143" s="88" t="s">
        <v>232</v>
      </c>
      <c r="D143" s="89">
        <v>45870</v>
      </c>
      <c r="E143" s="89">
        <v>45962</v>
      </c>
      <c r="F143" s="90" t="s">
        <v>86</v>
      </c>
      <c r="G143" s="90" t="s">
        <v>233</v>
      </c>
      <c r="H143" s="91">
        <f t="shared" ca="1" si="6"/>
        <v>46020.437982060183</v>
      </c>
      <c r="I143" s="92">
        <f t="shared" ca="1" si="7"/>
        <v>-58.437982060182549</v>
      </c>
      <c r="J143" s="93" t="str">
        <f t="shared" ca="1" si="8"/>
        <v>EXPIRED</v>
      </c>
      <c r="K143" s="93" t="s">
        <v>403</v>
      </c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 spans="1:27" s="47" customFormat="1" ht="31.5" customHeight="1">
      <c r="A144" s="88">
        <v>2</v>
      </c>
      <c r="B144" s="88">
        <f>VLOOKUP(A144, COSTS!$B$7:$C$13, 2, FALSE)</f>
        <v>125</v>
      </c>
      <c r="C144" s="88" t="s">
        <v>52</v>
      </c>
      <c r="D144" s="89">
        <v>45868</v>
      </c>
      <c r="E144" s="89">
        <v>46021</v>
      </c>
      <c r="F144" s="90">
        <v>772717320</v>
      </c>
      <c r="G144" s="90" t="s">
        <v>259</v>
      </c>
      <c r="H144" s="91">
        <f t="shared" ca="1" si="6"/>
        <v>46020.437982060183</v>
      </c>
      <c r="I144" s="92">
        <f t="shared" ca="1" si="7"/>
        <v>0.56201793981745141</v>
      </c>
      <c r="J144" s="93" t="str">
        <f t="shared" ca="1" si="8"/>
        <v>DUE THIS WEEK</v>
      </c>
      <c r="K144" s="93" t="s">
        <v>402</v>
      </c>
    </row>
    <row r="145" spans="1:27" s="47" customFormat="1" ht="31.5" customHeight="1">
      <c r="A145" s="88">
        <v>2</v>
      </c>
      <c r="B145" s="88">
        <f>VLOOKUP(A145, COSTS!$B$7:$C$13, 2, FALSE)</f>
        <v>125</v>
      </c>
      <c r="C145" s="88" t="s">
        <v>67</v>
      </c>
      <c r="D145" s="89">
        <v>45867</v>
      </c>
      <c r="E145" s="89">
        <v>45929</v>
      </c>
      <c r="F145" s="90">
        <v>772867085</v>
      </c>
      <c r="G145" s="90" t="s">
        <v>155</v>
      </c>
      <c r="H145" s="91">
        <f t="shared" ca="1" si="6"/>
        <v>46020.437982060183</v>
      </c>
      <c r="I145" s="92">
        <f t="shared" ca="1" si="7"/>
        <v>-91.437982060182549</v>
      </c>
      <c r="J145" s="93" t="str">
        <f t="shared" ca="1" si="8"/>
        <v>EXPIRED</v>
      </c>
      <c r="K145" s="93" t="s">
        <v>402</v>
      </c>
    </row>
    <row r="146" spans="1:27" s="47" customFormat="1" ht="31.5" customHeight="1">
      <c r="A146" s="88">
        <v>2</v>
      </c>
      <c r="B146" s="88">
        <f>VLOOKUP(A146, COSTS!$B$7:$C$13, 2, FALSE)</f>
        <v>125</v>
      </c>
      <c r="C146" s="88" t="s">
        <v>11</v>
      </c>
      <c r="D146" s="89">
        <v>45866</v>
      </c>
      <c r="E146" s="89">
        <v>46019</v>
      </c>
      <c r="F146" s="90" t="s">
        <v>298</v>
      </c>
      <c r="G146" s="90" t="s">
        <v>299</v>
      </c>
      <c r="H146" s="91">
        <f t="shared" ca="1" si="6"/>
        <v>46020.437982060183</v>
      </c>
      <c r="I146" s="92">
        <f t="shared" ca="1" si="7"/>
        <v>-1.4379820601825486</v>
      </c>
      <c r="J146" s="93" t="str">
        <f t="shared" ca="1" si="8"/>
        <v>EXPIRED</v>
      </c>
      <c r="K146" s="93" t="s">
        <v>402</v>
      </c>
    </row>
    <row r="147" spans="1:27" s="47" customFormat="1" ht="31.5" customHeight="1">
      <c r="A147" s="88">
        <v>2</v>
      </c>
      <c r="B147" s="88">
        <f>VLOOKUP(A147, COSTS!$B$7:$C$13, 2, FALSE)</f>
        <v>125</v>
      </c>
      <c r="C147" s="88" t="s">
        <v>94</v>
      </c>
      <c r="D147" s="89">
        <v>45865</v>
      </c>
      <c r="E147" s="89">
        <v>45896</v>
      </c>
      <c r="F147" s="90" t="s">
        <v>213</v>
      </c>
      <c r="G147" s="90" t="s">
        <v>214</v>
      </c>
      <c r="H147" s="91">
        <f t="shared" ca="1" si="6"/>
        <v>46020.437982060183</v>
      </c>
      <c r="I147" s="92">
        <f t="shared" ca="1" si="7"/>
        <v>-124.43798206018255</v>
      </c>
      <c r="J147" s="93" t="str">
        <f t="shared" ca="1" si="8"/>
        <v>EXPIRED</v>
      </c>
      <c r="K147" s="93" t="s">
        <v>402</v>
      </c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 spans="1:27" s="47" customFormat="1" ht="31.5" customHeight="1">
      <c r="A148" s="88">
        <v>3</v>
      </c>
      <c r="B148" s="88">
        <f>VLOOKUP(A148, COSTS!$B$7:$C$13, 2, FALSE)</f>
        <v>185</v>
      </c>
      <c r="C148" s="88" t="s">
        <v>67</v>
      </c>
      <c r="D148" s="89">
        <v>45863</v>
      </c>
      <c r="E148" s="100">
        <v>45955</v>
      </c>
      <c r="F148" s="90">
        <v>761351171</v>
      </c>
      <c r="G148" s="90" t="s">
        <v>297</v>
      </c>
      <c r="H148" s="91">
        <f t="shared" ca="1" si="6"/>
        <v>46020.437982060183</v>
      </c>
      <c r="I148" s="92">
        <f t="shared" ca="1" si="7"/>
        <v>-65.437982060182549</v>
      </c>
      <c r="J148" s="93" t="str">
        <f t="shared" ca="1" si="8"/>
        <v>EXPIRED</v>
      </c>
      <c r="K148" s="93" t="s">
        <v>402</v>
      </c>
    </row>
    <row r="149" spans="1:27" s="47" customFormat="1" ht="31.5" customHeight="1">
      <c r="A149" s="88">
        <v>2</v>
      </c>
      <c r="B149" s="88">
        <f>VLOOKUP(A149, COSTS!$B$7:$C$13, 2, FALSE)</f>
        <v>125</v>
      </c>
      <c r="C149" s="88" t="s">
        <v>67</v>
      </c>
      <c r="D149" s="89">
        <v>45862</v>
      </c>
      <c r="E149" s="89">
        <v>45893</v>
      </c>
      <c r="F149" s="90" t="s">
        <v>122</v>
      </c>
      <c r="G149" s="90" t="s">
        <v>123</v>
      </c>
      <c r="H149" s="91">
        <f t="shared" ca="1" si="6"/>
        <v>46020.437982060183</v>
      </c>
      <c r="I149" s="92">
        <f t="shared" ca="1" si="7"/>
        <v>-127.43798206018255</v>
      </c>
      <c r="J149" s="93" t="str">
        <f t="shared" ca="1" si="8"/>
        <v>EXPIRED</v>
      </c>
      <c r="K149" s="93" t="s">
        <v>402</v>
      </c>
    </row>
    <row r="150" spans="1:27" s="47" customFormat="1" ht="31.5" customHeight="1">
      <c r="A150" s="94">
        <v>1</v>
      </c>
      <c r="B150" s="88">
        <f>VLOOKUP(A150, COSTS!$B$7:$C$13, 2, FALSE)</f>
        <v>65</v>
      </c>
      <c r="C150" s="94" t="s">
        <v>67</v>
      </c>
      <c r="D150" s="95">
        <v>45860</v>
      </c>
      <c r="E150" s="95">
        <v>45891</v>
      </c>
      <c r="F150" s="96">
        <v>770208461</v>
      </c>
      <c r="G150" s="96" t="s">
        <v>68</v>
      </c>
      <c r="H150" s="91">
        <f t="shared" ca="1" si="6"/>
        <v>46020.437982060183</v>
      </c>
      <c r="I150" s="92">
        <f t="shared" ca="1" si="7"/>
        <v>-129.43798206018255</v>
      </c>
      <c r="J150" s="93" t="str">
        <f t="shared" ca="1" si="8"/>
        <v>EXPIRED</v>
      </c>
      <c r="K150" s="93" t="s">
        <v>402</v>
      </c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 spans="1:27" s="47" customFormat="1" ht="31.5" customHeight="1">
      <c r="A151" s="97">
        <v>3</v>
      </c>
      <c r="B151" s="88">
        <f>VLOOKUP(A151, COSTS!$B$7:$C$13, 2, FALSE)</f>
        <v>185</v>
      </c>
      <c r="C151" s="97" t="s">
        <v>129</v>
      </c>
      <c r="D151" s="98">
        <v>45859</v>
      </c>
      <c r="E151" s="98">
        <v>46012</v>
      </c>
      <c r="F151" s="99">
        <v>770480241</v>
      </c>
      <c r="G151" s="99" t="s">
        <v>154</v>
      </c>
      <c r="H151" s="91">
        <f t="shared" ca="1" si="6"/>
        <v>46020.437982060183</v>
      </c>
      <c r="I151" s="92">
        <f t="shared" ca="1" si="7"/>
        <v>-8.4379820601825486</v>
      </c>
      <c r="J151" s="93" t="str">
        <f t="shared" ca="1" si="8"/>
        <v>EXPIRED</v>
      </c>
      <c r="K151" s="93" t="s">
        <v>402</v>
      </c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 spans="1:27" s="47" customFormat="1" ht="31.5" customHeight="1">
      <c r="A152" s="88">
        <v>12</v>
      </c>
      <c r="B152" s="88">
        <f>VLOOKUP(A152, COSTS!$B$7:$C$13, 2, FALSE)</f>
        <v>450</v>
      </c>
      <c r="C152" s="88" t="s">
        <v>38</v>
      </c>
      <c r="D152" s="89">
        <v>45857</v>
      </c>
      <c r="E152" s="89">
        <v>46222</v>
      </c>
      <c r="F152" s="90" t="s">
        <v>291</v>
      </c>
      <c r="G152" s="90" t="s">
        <v>292</v>
      </c>
      <c r="H152" s="91">
        <f t="shared" ca="1" si="6"/>
        <v>46020.437982060183</v>
      </c>
      <c r="I152" s="92">
        <f t="shared" ca="1" si="7"/>
        <v>201.56201793981745</v>
      </c>
      <c r="J152" s="93" t="str">
        <f t="shared" ca="1" si="8"/>
        <v>ACTIVE</v>
      </c>
      <c r="K152" s="93" t="s">
        <v>402</v>
      </c>
    </row>
    <row r="153" spans="1:27" s="47" customFormat="1" ht="31.5" customHeight="1">
      <c r="A153" s="88">
        <v>6</v>
      </c>
      <c r="B153" s="88">
        <f>VLOOKUP(A153, COSTS!$B$7:$C$13, 2, FALSE)</f>
        <v>325</v>
      </c>
      <c r="C153" s="88" t="s">
        <v>270</v>
      </c>
      <c r="D153" s="89">
        <v>45853</v>
      </c>
      <c r="E153" s="100">
        <v>46006</v>
      </c>
      <c r="F153" s="90">
        <v>762096234</v>
      </c>
      <c r="G153" s="90" t="s">
        <v>288</v>
      </c>
      <c r="H153" s="91">
        <f t="shared" ca="1" si="6"/>
        <v>46020.437982060183</v>
      </c>
      <c r="I153" s="92">
        <f t="shared" ca="1" si="7"/>
        <v>-14.437982060182549</v>
      </c>
      <c r="J153" s="93" t="str">
        <f t="shared" ca="1" si="8"/>
        <v>EXPIRED</v>
      </c>
      <c r="K153" s="93" t="s">
        <v>402</v>
      </c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 spans="1:27" s="47" customFormat="1" ht="31.5" customHeight="1">
      <c r="A154" s="88">
        <v>2</v>
      </c>
      <c r="B154" s="88">
        <f>VLOOKUP(A154, COSTS!$B$7:$C$13, 2, FALSE)</f>
        <v>125</v>
      </c>
      <c r="C154" s="88" t="s">
        <v>270</v>
      </c>
      <c r="D154" s="89">
        <v>45852</v>
      </c>
      <c r="E154" s="89">
        <v>45995</v>
      </c>
      <c r="F154" s="90">
        <v>779480274</v>
      </c>
      <c r="G154" s="90" t="s">
        <v>286</v>
      </c>
      <c r="H154" s="91">
        <f t="shared" ca="1" si="6"/>
        <v>46020.437982060183</v>
      </c>
      <c r="I154" s="92">
        <f t="shared" ca="1" si="7"/>
        <v>-25.437982060182549</v>
      </c>
      <c r="J154" s="93" t="str">
        <f t="shared" ca="1" si="8"/>
        <v>EXPIRED</v>
      </c>
      <c r="K154" s="93" t="s">
        <v>402</v>
      </c>
    </row>
    <row r="155" spans="1:27" s="47" customFormat="1" ht="31.5" customHeight="1">
      <c r="A155" s="88">
        <v>6</v>
      </c>
      <c r="B155" s="88">
        <f>VLOOKUP(A155, COSTS!$B$7:$C$13, 2, FALSE)</f>
        <v>325</v>
      </c>
      <c r="C155" s="88" t="s">
        <v>46</v>
      </c>
      <c r="D155" s="89">
        <v>45850</v>
      </c>
      <c r="E155" s="89">
        <v>46093</v>
      </c>
      <c r="F155" s="90">
        <v>769541916</v>
      </c>
      <c r="G155" s="90" t="s">
        <v>278</v>
      </c>
      <c r="H155" s="91">
        <f t="shared" ca="1" si="6"/>
        <v>46020.437982060183</v>
      </c>
      <c r="I155" s="92">
        <f t="shared" ca="1" si="7"/>
        <v>72.562017939817451</v>
      </c>
      <c r="J155" s="93" t="str">
        <f t="shared" ca="1" si="8"/>
        <v>ACTIVE</v>
      </c>
      <c r="K155" s="93" t="s">
        <v>402</v>
      </c>
    </row>
    <row r="156" spans="1:27" s="47" customFormat="1" ht="31.5" customHeight="1">
      <c r="A156" s="88">
        <v>2</v>
      </c>
      <c r="B156" s="88">
        <f>VLOOKUP(A156, COSTS!$B$7:$C$13, 2, FALSE)</f>
        <v>125</v>
      </c>
      <c r="C156" s="88" t="s">
        <v>279</v>
      </c>
      <c r="D156" s="89">
        <v>45850</v>
      </c>
      <c r="E156" s="89">
        <v>46065</v>
      </c>
      <c r="F156" s="90" t="s">
        <v>280</v>
      </c>
      <c r="G156" s="90" t="s">
        <v>281</v>
      </c>
      <c r="H156" s="91">
        <f t="shared" ca="1" si="6"/>
        <v>46020.437982060183</v>
      </c>
      <c r="I156" s="92">
        <f t="shared" ca="1" si="7"/>
        <v>44.562017939817451</v>
      </c>
      <c r="J156" s="93" t="str">
        <f t="shared" ca="1" si="8"/>
        <v>ACTIVE</v>
      </c>
      <c r="K156" s="93" t="s">
        <v>402</v>
      </c>
    </row>
    <row r="157" spans="1:27" s="47" customFormat="1" ht="31.5" customHeight="1">
      <c r="A157" s="94">
        <v>6</v>
      </c>
      <c r="B157" s="88">
        <f>VLOOKUP(A157, COSTS!$B$7:$C$13, 2, FALSE)</f>
        <v>325</v>
      </c>
      <c r="C157" s="94" t="s">
        <v>23</v>
      </c>
      <c r="D157" s="95">
        <v>45848</v>
      </c>
      <c r="E157" s="95">
        <v>46032</v>
      </c>
      <c r="F157" s="96">
        <v>777150033</v>
      </c>
      <c r="G157" s="96" t="s">
        <v>24</v>
      </c>
      <c r="H157" s="91">
        <f t="shared" ca="1" si="6"/>
        <v>46020.437982060183</v>
      </c>
      <c r="I157" s="92">
        <f t="shared" ca="1" si="7"/>
        <v>11.562017939817451</v>
      </c>
      <c r="J157" s="93" t="str">
        <f t="shared" ca="1" si="8"/>
        <v>DUE THIS MONTH</v>
      </c>
      <c r="K157" s="93" t="s">
        <v>402</v>
      </c>
    </row>
    <row r="158" spans="1:27" s="47" customFormat="1" ht="31.5" customHeight="1">
      <c r="A158" s="88">
        <v>2</v>
      </c>
      <c r="B158" s="88">
        <f>VLOOKUP(A158, COSTS!$B$7:$C$13, 2, FALSE)</f>
        <v>125</v>
      </c>
      <c r="C158" s="88" t="s">
        <v>264</v>
      </c>
      <c r="D158" s="89">
        <v>45845</v>
      </c>
      <c r="E158" s="89">
        <v>45998</v>
      </c>
      <c r="F158" s="90">
        <v>776664112</v>
      </c>
      <c r="G158" s="90" t="s">
        <v>265</v>
      </c>
      <c r="H158" s="91">
        <f t="shared" ca="1" si="6"/>
        <v>46020.437982060183</v>
      </c>
      <c r="I158" s="92">
        <f t="shared" ca="1" si="7"/>
        <v>-22.437982060182549</v>
      </c>
      <c r="J158" s="93" t="str">
        <f t="shared" ca="1" si="8"/>
        <v>EXPIRED</v>
      </c>
      <c r="K158" s="93" t="s">
        <v>402</v>
      </c>
    </row>
    <row r="159" spans="1:27" s="47" customFormat="1" ht="31.5" customHeight="1">
      <c r="A159" s="88">
        <v>2</v>
      </c>
      <c r="B159" s="88">
        <f>VLOOKUP(A159, COSTS!$B$7:$C$13, 2, FALSE)</f>
        <v>125</v>
      </c>
      <c r="C159" s="88" t="s">
        <v>264</v>
      </c>
      <c r="D159" s="89">
        <v>45845</v>
      </c>
      <c r="E159" s="89">
        <v>45998</v>
      </c>
      <c r="F159" s="90" t="s">
        <v>266</v>
      </c>
      <c r="G159" s="90" t="s">
        <v>267</v>
      </c>
      <c r="H159" s="91">
        <f t="shared" ca="1" si="6"/>
        <v>46020.437982060183</v>
      </c>
      <c r="I159" s="92">
        <f t="shared" ca="1" si="7"/>
        <v>-22.437982060182549</v>
      </c>
      <c r="J159" s="93" t="str">
        <f t="shared" ca="1" si="8"/>
        <v>EXPIRED</v>
      </c>
      <c r="K159" s="93" t="s">
        <v>402</v>
      </c>
    </row>
    <row r="160" spans="1:27" s="47" customFormat="1" ht="31.5" customHeight="1">
      <c r="A160" s="88">
        <v>5</v>
      </c>
      <c r="B160" s="88">
        <f>VLOOKUP(A160, COSTS!$B$7:$C$13, 2, FALSE)</f>
        <v>275</v>
      </c>
      <c r="C160" s="88" t="s">
        <v>260</v>
      </c>
      <c r="D160" s="89">
        <v>45842</v>
      </c>
      <c r="E160" s="89">
        <v>46057</v>
      </c>
      <c r="F160" s="90" t="s">
        <v>261</v>
      </c>
      <c r="G160" s="90" t="s">
        <v>262</v>
      </c>
      <c r="H160" s="91">
        <f t="shared" ca="1" si="6"/>
        <v>46020.437982060183</v>
      </c>
      <c r="I160" s="92">
        <f t="shared" ca="1" si="7"/>
        <v>36.562017939817451</v>
      </c>
      <c r="J160" s="93" t="str">
        <f t="shared" ca="1" si="8"/>
        <v>ACTIVE</v>
      </c>
      <c r="K160" s="93" t="s">
        <v>402</v>
      </c>
    </row>
    <row r="161" spans="1:27" s="47" customFormat="1" ht="31.5" customHeight="1">
      <c r="A161" s="97">
        <v>2</v>
      </c>
      <c r="B161" s="88">
        <f>VLOOKUP(A161, COSTS!$B$7:$C$13, 2, FALSE)</f>
        <v>125</v>
      </c>
      <c r="C161" s="97" t="s">
        <v>49</v>
      </c>
      <c r="D161" s="98">
        <v>45841</v>
      </c>
      <c r="E161" s="98">
        <v>46084</v>
      </c>
      <c r="F161" s="99" t="s">
        <v>50</v>
      </c>
      <c r="G161" s="99" t="s">
        <v>51</v>
      </c>
      <c r="H161" s="91">
        <f t="shared" ca="1" si="6"/>
        <v>46020.437982060183</v>
      </c>
      <c r="I161" s="92">
        <f t="shared" ca="1" si="7"/>
        <v>63.562017939817451</v>
      </c>
      <c r="J161" s="93" t="str">
        <f t="shared" ca="1" si="8"/>
        <v>ACTIVE</v>
      </c>
      <c r="K161" s="93" t="s">
        <v>402</v>
      </c>
    </row>
    <row r="162" spans="1:27" s="47" customFormat="1" ht="31.5" customHeight="1">
      <c r="A162" s="97"/>
      <c r="B162" s="88"/>
      <c r="C162" s="97" t="s">
        <v>39</v>
      </c>
      <c r="D162" s="102">
        <v>45841</v>
      </c>
      <c r="E162" s="98"/>
      <c r="F162" s="99">
        <v>772879943</v>
      </c>
      <c r="G162" s="99" t="s">
        <v>40</v>
      </c>
      <c r="H162" s="91">
        <f t="shared" ca="1" si="6"/>
        <v>46020.437982060183</v>
      </c>
      <c r="I162" s="92">
        <f t="shared" ca="1" si="7"/>
        <v>-46020.437982060183</v>
      </c>
      <c r="J162" s="93" t="str">
        <f t="shared" ca="1" si="8"/>
        <v>EXPIRED</v>
      </c>
      <c r="K162" s="93" t="s">
        <v>402</v>
      </c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 spans="1:27" s="47" customFormat="1" ht="31.5" customHeight="1">
      <c r="A163" s="88"/>
      <c r="B163" s="88"/>
      <c r="C163" s="88" t="s">
        <v>6</v>
      </c>
      <c r="D163" s="89">
        <v>45824</v>
      </c>
      <c r="E163" s="89">
        <v>46069</v>
      </c>
      <c r="F163" s="90">
        <v>760959888</v>
      </c>
      <c r="G163" s="90" t="s">
        <v>257</v>
      </c>
      <c r="H163" s="91">
        <f t="shared" ca="1" si="6"/>
        <v>46020.437982060183</v>
      </c>
      <c r="I163" s="92">
        <f t="shared" ca="1" si="7"/>
        <v>48.562017939817451</v>
      </c>
      <c r="J163" s="93" t="str">
        <f t="shared" ca="1" si="8"/>
        <v>ACTIVE</v>
      </c>
      <c r="K163" s="90" t="s">
        <v>401</v>
      </c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 spans="1:27" s="47" customFormat="1" ht="31.5" customHeight="1">
      <c r="A164" s="97">
        <v>3</v>
      </c>
      <c r="B164" s="88">
        <f>VLOOKUP(A164, COSTS!$B$7:$C$13, 2, FALSE)</f>
        <v>185</v>
      </c>
      <c r="C164" s="97" t="s">
        <v>110</v>
      </c>
      <c r="D164" s="98">
        <v>45817</v>
      </c>
      <c r="E164" s="98">
        <v>46000</v>
      </c>
      <c r="F164" s="99">
        <v>960969762</v>
      </c>
      <c r="G164" s="99" t="s">
        <v>111</v>
      </c>
      <c r="H164" s="91">
        <f t="shared" ca="1" si="6"/>
        <v>46020.437982060183</v>
      </c>
      <c r="I164" s="92">
        <f t="shared" ca="1" si="7"/>
        <v>-20.437982060182549</v>
      </c>
      <c r="J164" s="93" t="str">
        <f t="shared" ca="1" si="8"/>
        <v>EXPIRED</v>
      </c>
      <c r="K164" s="90" t="s">
        <v>401</v>
      </c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 spans="1:27" s="47" customFormat="1" ht="31.5" customHeight="1">
      <c r="A165" s="97">
        <v>2</v>
      </c>
      <c r="B165" s="88">
        <f>VLOOKUP(A165, COSTS!$B$7:$C$13, 2, FALSE)</f>
        <v>125</v>
      </c>
      <c r="C165" s="97" t="s">
        <v>67</v>
      </c>
      <c r="D165" s="98">
        <v>45814</v>
      </c>
      <c r="E165" s="98">
        <v>46028</v>
      </c>
      <c r="F165" s="99">
        <v>260761539660</v>
      </c>
      <c r="G165" s="99" t="s">
        <v>240</v>
      </c>
      <c r="H165" s="91">
        <f t="shared" ca="1" si="6"/>
        <v>46020.437982060183</v>
      </c>
      <c r="I165" s="92">
        <f t="shared" ca="1" si="7"/>
        <v>7.5620179398174514</v>
      </c>
      <c r="J165" s="93" t="str">
        <f t="shared" ca="1" si="8"/>
        <v>DUE THIS MONTH</v>
      </c>
      <c r="K165" s="90" t="s">
        <v>401</v>
      </c>
    </row>
    <row r="166" spans="1:27" s="47" customFormat="1" ht="31.5" customHeight="1">
      <c r="A166" s="88">
        <v>2</v>
      </c>
      <c r="B166" s="88">
        <f>VLOOKUP(A166, COSTS!$B$7:$C$13, 2, FALSE)</f>
        <v>125</v>
      </c>
      <c r="C166" s="88" t="s">
        <v>66</v>
      </c>
      <c r="D166" s="89">
        <v>45811</v>
      </c>
      <c r="E166" s="89">
        <v>45872</v>
      </c>
      <c r="F166" s="90" t="s">
        <v>224</v>
      </c>
      <c r="G166" s="90" t="s">
        <v>225</v>
      </c>
      <c r="H166" s="91">
        <f t="shared" ca="1" si="6"/>
        <v>46020.437982060183</v>
      </c>
      <c r="I166" s="92">
        <f t="shared" ca="1" si="7"/>
        <v>-148.43798206018255</v>
      </c>
      <c r="J166" s="93" t="str">
        <f t="shared" ca="1" si="8"/>
        <v>EXPIRED</v>
      </c>
      <c r="K166" s="90" t="s">
        <v>401</v>
      </c>
    </row>
    <row r="167" spans="1:27" s="47" customFormat="1" ht="31.5" customHeight="1">
      <c r="A167" s="88">
        <v>2</v>
      </c>
      <c r="B167" s="88">
        <f>VLOOKUP(A167, COSTS!$B$7:$C$13, 2, FALSE)</f>
        <v>125</v>
      </c>
      <c r="C167" s="88"/>
      <c r="D167" s="89">
        <v>45804</v>
      </c>
      <c r="E167" s="89">
        <v>46230</v>
      </c>
      <c r="F167" s="90" t="s">
        <v>218</v>
      </c>
      <c r="G167" s="90" t="s">
        <v>219</v>
      </c>
      <c r="H167" s="91">
        <f t="shared" ca="1" si="6"/>
        <v>46020.437982060183</v>
      </c>
      <c r="I167" s="92">
        <f t="shared" ca="1" si="7"/>
        <v>209.56201793981745</v>
      </c>
      <c r="J167" s="93" t="str">
        <f t="shared" ca="1" si="8"/>
        <v>ACTIVE</v>
      </c>
      <c r="K167" s="90" t="s">
        <v>400</v>
      </c>
    </row>
    <row r="168" spans="1:27" s="47" customFormat="1" ht="31.5" customHeight="1">
      <c r="A168" s="88">
        <v>2</v>
      </c>
      <c r="B168" s="88">
        <f>VLOOKUP(A168, COSTS!$B$7:$C$13, 2, FALSE)</f>
        <v>125</v>
      </c>
      <c r="C168" s="88" t="s">
        <v>60</v>
      </c>
      <c r="D168" s="89">
        <v>45794</v>
      </c>
      <c r="E168" s="89">
        <v>46070</v>
      </c>
      <c r="F168" s="90" t="s">
        <v>289</v>
      </c>
      <c r="G168" s="90" t="s">
        <v>290</v>
      </c>
      <c r="H168" s="91">
        <f t="shared" ca="1" si="6"/>
        <v>46020.437982060183</v>
      </c>
      <c r="I168" s="92">
        <f t="shared" ca="1" si="7"/>
        <v>49.562017939817451</v>
      </c>
      <c r="J168" s="93" t="str">
        <f t="shared" ca="1" si="8"/>
        <v>ACTIVE</v>
      </c>
      <c r="K168" s="93" t="s">
        <v>400</v>
      </c>
    </row>
    <row r="169" spans="1:27" s="47" customFormat="1" ht="31.5" customHeight="1">
      <c r="A169" s="88">
        <v>2</v>
      </c>
      <c r="B169" s="88">
        <f>VLOOKUP(A169, COSTS!$B$7:$C$13, 2, FALSE)</f>
        <v>125</v>
      </c>
      <c r="C169" s="88" t="s">
        <v>190</v>
      </c>
      <c r="D169" s="89">
        <v>45780</v>
      </c>
      <c r="E169" s="89">
        <v>45811</v>
      </c>
      <c r="F169" s="90">
        <v>973641557</v>
      </c>
      <c r="G169" s="90" t="s">
        <v>191</v>
      </c>
      <c r="H169" s="91">
        <f t="shared" ca="1" si="6"/>
        <v>46020.437982060183</v>
      </c>
      <c r="I169" s="92">
        <f t="shared" ca="1" si="7"/>
        <v>-209.43798206018255</v>
      </c>
      <c r="J169" s="93" t="str">
        <f t="shared" ca="1" si="8"/>
        <v>EXPIRED</v>
      </c>
      <c r="K169" s="93" t="s">
        <v>400</v>
      </c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 spans="1:27" s="47" customFormat="1" ht="31.5" customHeight="1">
      <c r="A170" s="94">
        <v>2</v>
      </c>
      <c r="B170" s="88">
        <f>VLOOKUP(A170, COSTS!$B$7:$C$13, 2, FALSE)</f>
        <v>125</v>
      </c>
      <c r="C170" s="88" t="s">
        <v>83</v>
      </c>
      <c r="D170" s="95">
        <v>45779</v>
      </c>
      <c r="E170" s="95">
        <v>45994</v>
      </c>
      <c r="F170" s="96">
        <v>260767070164</v>
      </c>
      <c r="G170" s="96" t="s">
        <v>84</v>
      </c>
      <c r="H170" s="91">
        <f t="shared" ca="1" si="6"/>
        <v>46020.437982060183</v>
      </c>
      <c r="I170" s="92">
        <f t="shared" ca="1" si="7"/>
        <v>-26.437982060182549</v>
      </c>
      <c r="J170" s="93" t="str">
        <f t="shared" ca="1" si="8"/>
        <v>EXPIRED</v>
      </c>
      <c r="K170" s="93" t="s">
        <v>400</v>
      </c>
    </row>
    <row r="171" spans="1:27" s="47" customFormat="1" ht="31.5" customHeight="1">
      <c r="A171" s="88">
        <v>1</v>
      </c>
      <c r="B171" s="88">
        <f>VLOOKUP(A171, COSTS!$B$7:$C$13, 2, FALSE)</f>
        <v>65</v>
      </c>
      <c r="C171" s="97" t="s">
        <v>183</v>
      </c>
      <c r="D171" s="89">
        <v>45778</v>
      </c>
      <c r="E171" s="89">
        <v>46023</v>
      </c>
      <c r="F171" s="90">
        <v>260771190649</v>
      </c>
      <c r="G171" s="90" t="s">
        <v>184</v>
      </c>
      <c r="H171" s="91">
        <f t="shared" ca="1" si="6"/>
        <v>46020.437982060183</v>
      </c>
      <c r="I171" s="92">
        <f t="shared" ca="1" si="7"/>
        <v>2.5620179398174514</v>
      </c>
      <c r="J171" s="93" t="str">
        <f t="shared" ca="1" si="8"/>
        <v>DUE THIS WEEK</v>
      </c>
      <c r="K171" s="93" t="s">
        <v>400</v>
      </c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 spans="1:27" s="47" customFormat="1" ht="31.5" customHeight="1">
      <c r="A172" s="88">
        <v>1</v>
      </c>
      <c r="B172" s="88">
        <f>VLOOKUP(A172, COSTS!$B$7:$C$13, 2, FALSE)</f>
        <v>65</v>
      </c>
      <c r="C172" s="88" t="s">
        <v>97</v>
      </c>
      <c r="D172" s="89">
        <v>45776</v>
      </c>
      <c r="E172" s="106" t="s">
        <v>174</v>
      </c>
      <c r="F172" s="90">
        <v>951410830</v>
      </c>
      <c r="G172" s="90" t="s">
        <v>175</v>
      </c>
      <c r="H172" s="91">
        <f t="shared" ca="1" si="6"/>
        <v>46020.437982060183</v>
      </c>
      <c r="I172" s="92" t="e">
        <f t="shared" ca="1" si="7"/>
        <v>#VALUE!</v>
      </c>
      <c r="J172" s="93" t="e">
        <f t="shared" ca="1" si="8"/>
        <v>#VALUE!</v>
      </c>
      <c r="K172" s="93" t="s">
        <v>399</v>
      </c>
    </row>
    <row r="173" spans="1:27" s="47" customFormat="1" ht="31.5" customHeight="1">
      <c r="A173" s="94">
        <v>1</v>
      </c>
      <c r="B173" s="88">
        <f>VLOOKUP(A173, COSTS!$B$7:$C$13, 2, FALSE)</f>
        <v>65</v>
      </c>
      <c r="C173" s="94" t="s">
        <v>102</v>
      </c>
      <c r="D173" s="95">
        <v>45775</v>
      </c>
      <c r="E173" s="95">
        <v>45989</v>
      </c>
      <c r="F173" s="96">
        <v>963247349</v>
      </c>
      <c r="G173" s="96" t="s">
        <v>103</v>
      </c>
      <c r="H173" s="91">
        <f t="shared" ca="1" si="6"/>
        <v>46020.437982060183</v>
      </c>
      <c r="I173" s="92">
        <f t="shared" ca="1" si="7"/>
        <v>-31.437982060182549</v>
      </c>
      <c r="J173" s="93" t="str">
        <f t="shared" ca="1" si="8"/>
        <v>EXPIRED</v>
      </c>
      <c r="K173" s="93" t="s">
        <v>399</v>
      </c>
    </row>
    <row r="174" spans="1:27" s="47" customFormat="1" ht="31.5" customHeight="1">
      <c r="A174" s="94">
        <v>1</v>
      </c>
      <c r="B174" s="88">
        <f>VLOOKUP(A174, COSTS!$B$7:$C$13, 2, FALSE)</f>
        <v>65</v>
      </c>
      <c r="C174" s="94" t="s">
        <v>102</v>
      </c>
      <c r="D174" s="95">
        <v>45775</v>
      </c>
      <c r="E174" s="95">
        <v>45928</v>
      </c>
      <c r="F174" s="96">
        <v>963247349</v>
      </c>
      <c r="G174" s="96" t="s">
        <v>103</v>
      </c>
      <c r="H174" s="91">
        <f t="shared" ca="1" si="6"/>
        <v>46020.437982060183</v>
      </c>
      <c r="I174" s="92">
        <f t="shared" ca="1" si="7"/>
        <v>-92.437982060182549</v>
      </c>
      <c r="J174" s="93" t="str">
        <f t="shared" ca="1" si="8"/>
        <v>EXPIRED</v>
      </c>
      <c r="K174" s="93" t="s">
        <v>399</v>
      </c>
    </row>
    <row r="175" spans="1:27" s="47" customFormat="1" ht="31.5" customHeight="1">
      <c r="A175" s="88">
        <v>2</v>
      </c>
      <c r="B175" s="88">
        <f>VLOOKUP(A175, COSTS!$B$7:$C$13, 2, FALSE)</f>
        <v>125</v>
      </c>
      <c r="C175" s="88" t="s">
        <v>45</v>
      </c>
      <c r="D175" s="89">
        <v>45767</v>
      </c>
      <c r="E175" s="89">
        <v>46101</v>
      </c>
      <c r="F175" s="90">
        <v>973873023</v>
      </c>
      <c r="G175" s="90" t="s">
        <v>163</v>
      </c>
      <c r="H175" s="91">
        <f t="shared" ca="1" si="6"/>
        <v>46020.437982060183</v>
      </c>
      <c r="I175" s="92">
        <f t="shared" ca="1" si="7"/>
        <v>80.562017939817451</v>
      </c>
      <c r="J175" s="93" t="str">
        <f t="shared" ca="1" si="8"/>
        <v>ACTIVE</v>
      </c>
      <c r="K175" s="93" t="s">
        <v>399</v>
      </c>
    </row>
    <row r="176" spans="1:27" s="47" customFormat="1" ht="31.5" customHeight="1">
      <c r="A176" s="97">
        <v>1</v>
      </c>
      <c r="B176" s="88">
        <f>VLOOKUP(A176, COSTS!$B$7:$C$13, 2, FALSE)</f>
        <v>65</v>
      </c>
      <c r="C176" s="97" t="s">
        <v>45</v>
      </c>
      <c r="D176" s="98">
        <v>45766</v>
      </c>
      <c r="E176" s="98">
        <v>46345</v>
      </c>
      <c r="F176" s="99">
        <v>969918957</v>
      </c>
      <c r="G176" s="99" t="s">
        <v>69</v>
      </c>
      <c r="H176" s="91">
        <f t="shared" ca="1" si="6"/>
        <v>46020.437982060183</v>
      </c>
      <c r="I176" s="92">
        <f t="shared" ca="1" si="7"/>
        <v>324.56201793981745</v>
      </c>
      <c r="J176" s="93" t="str">
        <f t="shared" ca="1" si="8"/>
        <v>ACTIVE</v>
      </c>
      <c r="K176" s="93" t="s">
        <v>399</v>
      </c>
    </row>
    <row r="177" spans="1:27" s="47" customFormat="1" ht="31.5" customHeight="1">
      <c r="A177" s="94">
        <v>2</v>
      </c>
      <c r="B177" s="88">
        <f>VLOOKUP(A177, COSTS!$B$7:$C$13, 2, FALSE)</f>
        <v>125</v>
      </c>
      <c r="C177" s="94" t="s">
        <v>70</v>
      </c>
      <c r="D177" s="95">
        <v>45766</v>
      </c>
      <c r="E177" s="95">
        <v>46131</v>
      </c>
      <c r="F177" s="96">
        <v>27670121419</v>
      </c>
      <c r="G177" s="96" t="s">
        <v>72</v>
      </c>
      <c r="H177" s="91">
        <f t="shared" ca="1" si="6"/>
        <v>46020.437982060183</v>
      </c>
      <c r="I177" s="92">
        <f t="shared" ca="1" si="7"/>
        <v>110.56201793981745</v>
      </c>
      <c r="J177" s="93" t="str">
        <f t="shared" ca="1" si="8"/>
        <v>ACTIVE</v>
      </c>
      <c r="K177" s="93" t="s">
        <v>399</v>
      </c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 spans="1:27" s="47" customFormat="1" ht="31.5" customHeight="1">
      <c r="A178" s="97">
        <v>1</v>
      </c>
      <c r="B178" s="88">
        <f>VLOOKUP(A178, COSTS!$B$7:$C$13, 2, FALSE)</f>
        <v>65</v>
      </c>
      <c r="C178" s="97" t="s">
        <v>35</v>
      </c>
      <c r="D178" s="102">
        <v>45766</v>
      </c>
      <c r="E178" s="98">
        <v>46038</v>
      </c>
      <c r="F178" s="99">
        <v>974000870</v>
      </c>
      <c r="G178" s="99" t="s">
        <v>36</v>
      </c>
      <c r="H178" s="91">
        <f t="shared" ca="1" si="6"/>
        <v>46020.437982060183</v>
      </c>
      <c r="I178" s="92">
        <f t="shared" ca="1" si="7"/>
        <v>17.562017939817451</v>
      </c>
      <c r="J178" s="93" t="str">
        <f t="shared" ca="1" si="8"/>
        <v>DUE THIS MONTH</v>
      </c>
      <c r="K178" s="93" t="s">
        <v>399</v>
      </c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 spans="1:27" s="47" customFormat="1" ht="31.5" customHeight="1">
      <c r="A179" s="94">
        <v>1</v>
      </c>
      <c r="B179" s="88">
        <f>VLOOKUP(A179, COSTS!$B$7:$C$13, 2, FALSE)</f>
        <v>65</v>
      </c>
      <c r="C179" s="94" t="s">
        <v>21</v>
      </c>
      <c r="D179" s="95">
        <v>45765</v>
      </c>
      <c r="E179" s="95">
        <v>46040</v>
      </c>
      <c r="F179" s="96">
        <v>978902466</v>
      </c>
      <c r="G179" s="96" t="s">
        <v>22</v>
      </c>
      <c r="H179" s="91">
        <f t="shared" ca="1" si="6"/>
        <v>46020.437982060183</v>
      </c>
      <c r="I179" s="92">
        <f t="shared" ca="1" si="7"/>
        <v>19.562017939817451</v>
      </c>
      <c r="J179" s="93" t="str">
        <f t="shared" ca="1" si="8"/>
        <v>DUE THIS MONTH</v>
      </c>
      <c r="K179" s="93" t="s">
        <v>399</v>
      </c>
    </row>
    <row r="180" spans="1:27" s="47" customFormat="1" ht="31.5" customHeight="1">
      <c r="A180" s="94">
        <v>1</v>
      </c>
      <c r="B180" s="88">
        <f>VLOOKUP(A180, COSTS!$B$7:$C$13, 2, FALSE)</f>
        <v>65</v>
      </c>
      <c r="C180" s="94" t="s">
        <v>158</v>
      </c>
      <c r="D180" s="95">
        <v>45761</v>
      </c>
      <c r="E180" s="95">
        <v>46005</v>
      </c>
      <c r="F180" s="96" t="s">
        <v>159</v>
      </c>
      <c r="G180" s="96" t="s">
        <v>160</v>
      </c>
      <c r="H180" s="91">
        <f t="shared" ca="1" si="6"/>
        <v>46020.437982060183</v>
      </c>
      <c r="I180" s="92">
        <f t="shared" ca="1" si="7"/>
        <v>-15.437982060182549</v>
      </c>
      <c r="J180" s="93" t="str">
        <f t="shared" ca="1" si="8"/>
        <v>EXPIRED</v>
      </c>
      <c r="K180" s="93" t="s">
        <v>399</v>
      </c>
    </row>
    <row r="181" spans="1:27" s="47" customFormat="1" ht="31.5" customHeight="1">
      <c r="A181" s="94">
        <v>1</v>
      </c>
      <c r="B181" s="88">
        <f>VLOOKUP(A181, COSTS!$B$7:$C$13, 2, FALSE)</f>
        <v>65</v>
      </c>
      <c r="C181" s="94" t="s">
        <v>119</v>
      </c>
      <c r="D181" s="95">
        <v>45760</v>
      </c>
      <c r="E181" s="95">
        <v>46094</v>
      </c>
      <c r="F181" s="96">
        <v>979752851</v>
      </c>
      <c r="G181" s="96" t="s">
        <v>137</v>
      </c>
      <c r="H181" s="91">
        <f t="shared" ca="1" si="6"/>
        <v>46020.437982060183</v>
      </c>
      <c r="I181" s="92">
        <f t="shared" ca="1" si="7"/>
        <v>73.562017939817451</v>
      </c>
      <c r="J181" s="93" t="str">
        <f t="shared" ca="1" si="8"/>
        <v>ACTIVE</v>
      </c>
      <c r="K181" s="93" t="s">
        <v>399</v>
      </c>
    </row>
    <row r="182" spans="1:27" s="47" customFormat="1" ht="31.5" customHeight="1">
      <c r="A182" s="97">
        <v>2</v>
      </c>
      <c r="B182" s="88">
        <f>VLOOKUP(A182, COSTS!$B$7:$C$13, 2, FALSE)</f>
        <v>125</v>
      </c>
      <c r="C182" s="97" t="s">
        <v>37</v>
      </c>
      <c r="D182" s="102">
        <v>45760</v>
      </c>
      <c r="E182" s="98">
        <v>46066</v>
      </c>
      <c r="F182" s="99">
        <v>772190451</v>
      </c>
      <c r="G182" s="99" t="s">
        <v>38</v>
      </c>
      <c r="H182" s="91">
        <f t="shared" ca="1" si="6"/>
        <v>46020.437982060183</v>
      </c>
      <c r="I182" s="92">
        <f t="shared" ca="1" si="7"/>
        <v>45.562017939817451</v>
      </c>
      <c r="J182" s="93" t="str">
        <f t="shared" ca="1" si="8"/>
        <v>ACTIVE</v>
      </c>
      <c r="K182" s="93" t="s">
        <v>399</v>
      </c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 spans="1:27" s="47" customFormat="1" ht="31.5" customHeight="1">
      <c r="A183" s="94">
        <v>1</v>
      </c>
      <c r="B183" s="88">
        <f>VLOOKUP(A183, COSTS!$B$7:$C$13, 2, FALSE)</f>
        <v>65</v>
      </c>
      <c r="C183" s="94" t="s">
        <v>47</v>
      </c>
      <c r="D183" s="95">
        <v>45757</v>
      </c>
      <c r="E183" s="95">
        <v>46032</v>
      </c>
      <c r="F183" s="96">
        <v>961479776</v>
      </c>
      <c r="G183" s="96" t="s">
        <v>48</v>
      </c>
      <c r="H183" s="91">
        <f t="shared" ca="1" si="6"/>
        <v>46020.437982060183</v>
      </c>
      <c r="I183" s="92">
        <f t="shared" ca="1" si="7"/>
        <v>11.562017939817451</v>
      </c>
      <c r="J183" s="93" t="str">
        <f t="shared" ca="1" si="8"/>
        <v>DUE THIS MONTH</v>
      </c>
      <c r="K183" s="93" t="s">
        <v>399</v>
      </c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 spans="1:27" s="47" customFormat="1" ht="31.5" customHeight="1">
      <c r="A184" s="97">
        <v>2</v>
      </c>
      <c r="B184" s="88">
        <f>VLOOKUP(A184, COSTS!$B$7:$C$13, 2, FALSE)</f>
        <v>125</v>
      </c>
      <c r="C184" s="97" t="s">
        <v>6</v>
      </c>
      <c r="D184" s="102">
        <v>45756</v>
      </c>
      <c r="E184" s="98">
        <v>46062</v>
      </c>
      <c r="F184" s="99">
        <v>766274560</v>
      </c>
      <c r="G184" s="99" t="s">
        <v>145</v>
      </c>
      <c r="H184" s="91">
        <f t="shared" ca="1" si="6"/>
        <v>46020.437982060183</v>
      </c>
      <c r="I184" s="92">
        <f t="shared" ca="1" si="7"/>
        <v>41.562017939817451</v>
      </c>
      <c r="J184" s="93" t="str">
        <f t="shared" ca="1" si="8"/>
        <v>ACTIVE</v>
      </c>
      <c r="K184" s="93" t="s">
        <v>399</v>
      </c>
    </row>
    <row r="185" spans="1:27" s="47" customFormat="1" ht="31.5" customHeight="1">
      <c r="A185" s="94">
        <v>2</v>
      </c>
      <c r="B185" s="88">
        <f>VLOOKUP(A185, COSTS!$B$7:$C$13, 2, FALSE)</f>
        <v>125</v>
      </c>
      <c r="C185" s="94" t="s">
        <v>67</v>
      </c>
      <c r="D185" s="95">
        <v>45756</v>
      </c>
      <c r="E185" s="95">
        <v>45909</v>
      </c>
      <c r="F185" s="96" t="s">
        <v>131</v>
      </c>
      <c r="G185" s="96" t="s">
        <v>132</v>
      </c>
      <c r="H185" s="91">
        <f t="shared" ca="1" si="6"/>
        <v>46020.437982060183</v>
      </c>
      <c r="I185" s="92">
        <f t="shared" ca="1" si="7"/>
        <v>-111.43798206018255</v>
      </c>
      <c r="J185" s="93" t="str">
        <f t="shared" ca="1" si="8"/>
        <v>EXPIRED</v>
      </c>
      <c r="K185" s="93" t="s">
        <v>399</v>
      </c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 spans="1:27" s="47" customFormat="1" ht="31.5" customHeight="1">
      <c r="A186" s="94">
        <v>1</v>
      </c>
      <c r="B186" s="88">
        <f>VLOOKUP(A186, COSTS!$B$7:$C$13, 2, FALSE)</f>
        <v>65</v>
      </c>
      <c r="C186" s="94" t="s">
        <v>52</v>
      </c>
      <c r="D186" s="95">
        <v>45755</v>
      </c>
      <c r="E186" s="95">
        <v>46017</v>
      </c>
      <c r="F186" s="96">
        <v>973433001</v>
      </c>
      <c r="G186" s="96" t="s">
        <v>53</v>
      </c>
      <c r="H186" s="91">
        <f t="shared" ca="1" si="6"/>
        <v>46020.437982060183</v>
      </c>
      <c r="I186" s="92">
        <f t="shared" ca="1" si="7"/>
        <v>-3.4379820601825486</v>
      </c>
      <c r="J186" s="93" t="str">
        <f t="shared" ca="1" si="8"/>
        <v>EXPIRED</v>
      </c>
      <c r="K186" s="93" t="s">
        <v>399</v>
      </c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 spans="1:27" s="47" customFormat="1" ht="31.5" customHeight="1">
      <c r="A187" s="97">
        <v>2</v>
      </c>
      <c r="B187" s="88">
        <f>VLOOKUP(A187, COSTS!$B$7:$C$13, 2, FALSE)</f>
        <v>125</v>
      </c>
      <c r="C187" s="97" t="s">
        <v>129</v>
      </c>
      <c r="D187" s="98">
        <v>45755</v>
      </c>
      <c r="E187" s="98">
        <v>45998</v>
      </c>
      <c r="F187" s="99">
        <v>978471134</v>
      </c>
      <c r="G187" s="99" t="s">
        <v>133</v>
      </c>
      <c r="H187" s="91">
        <f t="shared" ca="1" si="6"/>
        <v>46020.437982060183</v>
      </c>
      <c r="I187" s="92">
        <f t="shared" ca="1" si="7"/>
        <v>-22.437982060182549</v>
      </c>
      <c r="J187" s="93" t="str">
        <f t="shared" ca="1" si="8"/>
        <v>EXPIRED</v>
      </c>
      <c r="K187" s="93" t="s">
        <v>399</v>
      </c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 spans="1:27" s="47" customFormat="1" ht="31.5" customHeight="1">
      <c r="A188" s="97">
        <v>1</v>
      </c>
      <c r="B188" s="88">
        <f>VLOOKUP(A188, COSTS!$B$7:$C$13, 2, FALSE)</f>
        <v>65</v>
      </c>
      <c r="C188" s="97" t="s">
        <v>129</v>
      </c>
      <c r="D188" s="98">
        <v>45754</v>
      </c>
      <c r="E188" s="98">
        <v>46072</v>
      </c>
      <c r="F188" s="99">
        <v>976688420</v>
      </c>
      <c r="G188" s="99" t="s">
        <v>130</v>
      </c>
      <c r="H188" s="91">
        <f t="shared" ca="1" si="6"/>
        <v>46020.437982060183</v>
      </c>
      <c r="I188" s="92">
        <f t="shared" ca="1" si="7"/>
        <v>51.562017939817451</v>
      </c>
      <c r="J188" s="93" t="str">
        <f t="shared" ca="1" si="8"/>
        <v>ACTIVE</v>
      </c>
      <c r="K188" s="93" t="s">
        <v>399</v>
      </c>
    </row>
    <row r="189" spans="1:27" s="47" customFormat="1" ht="31.5" customHeight="1">
      <c r="A189" s="94">
        <v>2</v>
      </c>
      <c r="B189" s="88">
        <f>VLOOKUP(A189, COSTS!$B$7:$C$13, 2, FALSE)</f>
        <v>125</v>
      </c>
      <c r="C189" s="94" t="s">
        <v>15</v>
      </c>
      <c r="D189" s="95">
        <v>45751</v>
      </c>
      <c r="E189" s="95">
        <v>45842</v>
      </c>
      <c r="F189" s="96">
        <v>774245153</v>
      </c>
      <c r="G189" s="96" t="s">
        <v>15</v>
      </c>
      <c r="H189" s="91">
        <f t="shared" ca="1" si="6"/>
        <v>46020.437982060183</v>
      </c>
      <c r="I189" s="92">
        <f t="shared" ca="1" si="7"/>
        <v>-178.43798206018255</v>
      </c>
      <c r="J189" s="93" t="str">
        <f t="shared" ca="1" si="8"/>
        <v>EXPIRED</v>
      </c>
      <c r="K189" s="93" t="s">
        <v>399</v>
      </c>
    </row>
    <row r="190" spans="1:27" s="47" customFormat="1" ht="31.5" customHeight="1">
      <c r="A190" s="97">
        <v>2</v>
      </c>
      <c r="B190" s="88">
        <f>VLOOKUP(A190, COSTS!$B$7:$C$13, 2, FALSE)</f>
        <v>125</v>
      </c>
      <c r="C190" s="97" t="s">
        <v>17</v>
      </c>
      <c r="D190" s="98">
        <v>45749</v>
      </c>
      <c r="E190" s="98">
        <v>46267</v>
      </c>
      <c r="F190" s="99">
        <v>962014064</v>
      </c>
      <c r="G190" s="99" t="s">
        <v>18</v>
      </c>
      <c r="H190" s="91">
        <f t="shared" ca="1" si="6"/>
        <v>46020.437982060183</v>
      </c>
      <c r="I190" s="92">
        <f t="shared" ca="1" si="7"/>
        <v>246.56201793981745</v>
      </c>
      <c r="J190" s="93" t="str">
        <f t="shared" ca="1" si="8"/>
        <v>ACTIVE</v>
      </c>
      <c r="K190" s="93" t="s">
        <v>399</v>
      </c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 spans="1:27" s="47" customFormat="1" ht="31.5" customHeight="1">
      <c r="A191" s="94">
        <v>3</v>
      </c>
      <c r="B191" s="88">
        <f>VLOOKUP(A191, COSTS!$B$7:$C$13, 2, FALSE)</f>
        <v>185</v>
      </c>
      <c r="C191" s="94" t="s">
        <v>41</v>
      </c>
      <c r="D191" s="101">
        <v>45745</v>
      </c>
      <c r="E191" s="95">
        <v>46232</v>
      </c>
      <c r="F191" s="96">
        <v>975443657</v>
      </c>
      <c r="G191" s="96" t="s">
        <v>43</v>
      </c>
      <c r="H191" s="91">
        <f t="shared" ca="1" si="6"/>
        <v>46020.437982060183</v>
      </c>
      <c r="I191" s="92">
        <f t="shared" ca="1" si="7"/>
        <v>211.56201793981745</v>
      </c>
      <c r="J191" s="93" t="str">
        <f t="shared" ca="1" si="8"/>
        <v>ACTIVE</v>
      </c>
      <c r="K191" s="93" t="s">
        <v>398</v>
      </c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 spans="1:27" s="47" customFormat="1" ht="31.5" customHeight="1">
      <c r="A192" s="94">
        <v>1</v>
      </c>
      <c r="B192" s="88">
        <f>VLOOKUP(A192, COSTS!$B$7:$C$13, 2, FALSE)</f>
        <v>65</v>
      </c>
      <c r="C192" s="94" t="s">
        <v>79</v>
      </c>
      <c r="D192" s="95">
        <v>45737</v>
      </c>
      <c r="E192" s="95">
        <v>46102</v>
      </c>
      <c r="F192" s="96">
        <v>975500322</v>
      </c>
      <c r="G192" s="96" t="s">
        <v>79</v>
      </c>
      <c r="H192" s="91">
        <f t="shared" ca="1" si="6"/>
        <v>46020.437982060183</v>
      </c>
      <c r="I192" s="92">
        <f t="shared" ca="1" si="7"/>
        <v>81.562017939817451</v>
      </c>
      <c r="J192" s="93" t="str">
        <f t="shared" ca="1" si="8"/>
        <v>ACTIVE</v>
      </c>
      <c r="K192" s="93" t="s">
        <v>398</v>
      </c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 spans="1:27" s="47" customFormat="1" ht="31.5" customHeight="1">
      <c r="A193" s="97">
        <v>3</v>
      </c>
      <c r="B193" s="88">
        <f>VLOOKUP(A193, COSTS!$B$7:$C$13, 2, FALSE)</f>
        <v>185</v>
      </c>
      <c r="C193" s="97" t="s">
        <v>45</v>
      </c>
      <c r="D193" s="98">
        <v>45736</v>
      </c>
      <c r="E193" s="98">
        <v>45677</v>
      </c>
      <c r="F193" s="99">
        <v>760880782</v>
      </c>
      <c r="G193" s="99" t="s">
        <v>46</v>
      </c>
      <c r="H193" s="91">
        <f t="shared" ca="1" si="6"/>
        <v>46020.437982060183</v>
      </c>
      <c r="I193" s="92">
        <f t="shared" ca="1" si="7"/>
        <v>-343.43798206018255</v>
      </c>
      <c r="J193" s="93" t="str">
        <f t="shared" ca="1" si="8"/>
        <v>EXPIRED</v>
      </c>
      <c r="K193" s="93" t="s">
        <v>398</v>
      </c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 spans="1:27" s="47" customFormat="1" ht="31.5" customHeight="1">
      <c r="A194" s="97">
        <v>1</v>
      </c>
      <c r="B194" s="88">
        <f>VLOOKUP(A194, COSTS!$B$7:$C$13, 2, FALSE)</f>
        <v>65</v>
      </c>
      <c r="C194" s="97" t="s">
        <v>65</v>
      </c>
      <c r="D194" s="98">
        <v>45730</v>
      </c>
      <c r="E194" s="98">
        <v>46095</v>
      </c>
      <c r="F194" s="99">
        <v>978829574</v>
      </c>
      <c r="G194" s="99" t="s">
        <v>66</v>
      </c>
      <c r="H194" s="91">
        <f t="shared" ref="H194:H204" ca="1" si="9">NOW()</f>
        <v>46020.437982060183</v>
      </c>
      <c r="I194" s="92">
        <f t="shared" ref="I194:I204" ca="1" si="10">E194-H194</f>
        <v>74.562017939817451</v>
      </c>
      <c r="J194" s="93" t="str">
        <f t="shared" ref="J194:J204" ca="1" si="11">IF(I194&lt;=0, "EXPIRED",
 IF(I194&lt;=7, "DUE THIS WEEK",
 IF(I194&lt;=30, "DUE THIS MONTH", "ACTIVE")))</f>
        <v>ACTIVE</v>
      </c>
      <c r="K194" s="93" t="s">
        <v>398</v>
      </c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 spans="1:27" s="47" customFormat="1" ht="31.5" customHeight="1">
      <c r="A195" s="97">
        <v>6</v>
      </c>
      <c r="B195" s="88">
        <f>VLOOKUP(A195, COSTS!$B$7:$C$13, 2, FALSE)</f>
        <v>325</v>
      </c>
      <c r="C195" s="97" t="s">
        <v>92</v>
      </c>
      <c r="D195" s="98">
        <v>45722</v>
      </c>
      <c r="E195" s="98">
        <v>46054</v>
      </c>
      <c r="F195" s="99">
        <v>770969579</v>
      </c>
      <c r="G195" s="99" t="s">
        <v>93</v>
      </c>
      <c r="H195" s="91">
        <f t="shared" ca="1" si="9"/>
        <v>46020.437982060183</v>
      </c>
      <c r="I195" s="92">
        <f t="shared" ca="1" si="10"/>
        <v>33.562017939817451</v>
      </c>
      <c r="J195" s="93" t="str">
        <f t="shared" ca="1" si="11"/>
        <v>ACTIVE</v>
      </c>
      <c r="K195" s="93" t="s">
        <v>398</v>
      </c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 spans="1:27" s="47" customFormat="1" ht="31.5" customHeight="1">
      <c r="A196" s="97">
        <v>5</v>
      </c>
      <c r="B196" s="88">
        <f>VLOOKUP(A196, COSTS!$B$7:$C$13, 2, FALSE)</f>
        <v>275</v>
      </c>
      <c r="C196" s="97" t="s">
        <v>88</v>
      </c>
      <c r="D196" s="98">
        <v>45721</v>
      </c>
      <c r="E196" s="98">
        <v>45996</v>
      </c>
      <c r="F196" s="99">
        <v>974562666</v>
      </c>
      <c r="G196" s="99" t="s">
        <v>89</v>
      </c>
      <c r="H196" s="91">
        <f t="shared" ca="1" si="9"/>
        <v>46020.437982060183</v>
      </c>
      <c r="I196" s="92">
        <f t="shared" ca="1" si="10"/>
        <v>-24.437982060182549</v>
      </c>
      <c r="J196" s="93" t="str">
        <f t="shared" ca="1" si="11"/>
        <v>EXPIRED</v>
      </c>
      <c r="K196" s="93" t="s">
        <v>398</v>
      </c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 spans="1:27" s="47" customFormat="1" ht="31.5" customHeight="1">
      <c r="A197" s="94">
        <v>2</v>
      </c>
      <c r="B197" s="88">
        <f>VLOOKUP(A197, COSTS!$B$7:$C$13, 2, FALSE)</f>
        <v>125</v>
      </c>
      <c r="C197" s="94" t="s">
        <v>15</v>
      </c>
      <c r="D197" s="95">
        <v>45720</v>
      </c>
      <c r="E197" s="95">
        <v>46026</v>
      </c>
      <c r="F197" s="96">
        <v>774245153</v>
      </c>
      <c r="G197" s="96" t="s">
        <v>15</v>
      </c>
      <c r="H197" s="91">
        <f t="shared" ca="1" si="9"/>
        <v>46020.437982060183</v>
      </c>
      <c r="I197" s="92">
        <f t="shared" ca="1" si="10"/>
        <v>5.5620179398174514</v>
      </c>
      <c r="J197" s="93" t="str">
        <f t="shared" ca="1" si="11"/>
        <v>DUE THIS WEEK</v>
      </c>
      <c r="K197" s="93" t="s">
        <v>398</v>
      </c>
    </row>
    <row r="198" spans="1:27" s="47" customFormat="1" ht="31.5" customHeight="1">
      <c r="A198" s="94">
        <v>1</v>
      </c>
      <c r="B198" s="88">
        <f>VLOOKUP(A198, COSTS!$B$7:$C$13, 2, FALSE)</f>
        <v>65</v>
      </c>
      <c r="C198" s="94" t="s">
        <v>15</v>
      </c>
      <c r="D198" s="95">
        <v>45720</v>
      </c>
      <c r="E198" s="95">
        <v>45995</v>
      </c>
      <c r="F198" s="96">
        <v>774245153</v>
      </c>
      <c r="G198" s="96" t="s">
        <v>16</v>
      </c>
      <c r="H198" s="91">
        <f t="shared" ca="1" si="9"/>
        <v>46020.437982060183</v>
      </c>
      <c r="I198" s="92">
        <f t="shared" ca="1" si="10"/>
        <v>-25.437982060182549</v>
      </c>
      <c r="J198" s="93" t="str">
        <f t="shared" ca="1" si="11"/>
        <v>EXPIRED</v>
      </c>
      <c r="K198" s="93" t="s">
        <v>398</v>
      </c>
    </row>
    <row r="199" spans="1:27" s="47" customFormat="1" ht="31.5" customHeight="1">
      <c r="A199" s="97">
        <v>3</v>
      </c>
      <c r="B199" s="88">
        <f>VLOOKUP(A199, COSTS!$B$7:$C$13, 2, FALSE)</f>
        <v>185</v>
      </c>
      <c r="C199" s="97" t="s">
        <v>94</v>
      </c>
      <c r="D199" s="98">
        <v>45716</v>
      </c>
      <c r="E199" s="98">
        <v>46081</v>
      </c>
      <c r="F199" s="99">
        <v>974364500</v>
      </c>
      <c r="G199" s="99" t="s">
        <v>52</v>
      </c>
      <c r="H199" s="91">
        <f t="shared" ca="1" si="9"/>
        <v>46020.437982060183</v>
      </c>
      <c r="I199" s="92">
        <f t="shared" ca="1" si="10"/>
        <v>60.562017939817451</v>
      </c>
      <c r="J199" s="93" t="str">
        <f t="shared" ca="1" si="11"/>
        <v>ACTIVE</v>
      </c>
      <c r="K199" s="93" t="s">
        <v>397</v>
      </c>
    </row>
    <row r="200" spans="1:27" s="47" customFormat="1" ht="31.5" customHeight="1">
      <c r="A200" s="97">
        <v>8</v>
      </c>
      <c r="B200" s="88"/>
      <c r="C200" s="97"/>
      <c r="D200" s="98">
        <v>45711</v>
      </c>
      <c r="E200" s="98">
        <v>46014</v>
      </c>
      <c r="F200" s="99">
        <v>977523048</v>
      </c>
      <c r="G200" s="99" t="s">
        <v>76</v>
      </c>
      <c r="H200" s="91">
        <f t="shared" ca="1" si="9"/>
        <v>46020.437982060183</v>
      </c>
      <c r="I200" s="92">
        <f t="shared" ca="1" si="10"/>
        <v>-6.4379820601825486</v>
      </c>
      <c r="J200" s="93" t="str">
        <f t="shared" ca="1" si="11"/>
        <v>EXPIRED</v>
      </c>
      <c r="K200" s="93" t="s">
        <v>397</v>
      </c>
    </row>
    <row r="201" spans="1:27" s="47" customFormat="1" ht="31.5" customHeight="1">
      <c r="A201" s="94">
        <v>2</v>
      </c>
      <c r="B201" s="88">
        <f>VLOOKUP(A201, COSTS!$B$7:$C$13, 2, FALSE)</f>
        <v>125</v>
      </c>
      <c r="C201" s="94" t="s">
        <v>70</v>
      </c>
      <c r="D201" s="95">
        <v>45707</v>
      </c>
      <c r="E201" s="95">
        <v>46131</v>
      </c>
      <c r="F201" s="96">
        <v>27670121419</v>
      </c>
      <c r="G201" s="96" t="s">
        <v>72</v>
      </c>
      <c r="H201" s="91">
        <f t="shared" ca="1" si="9"/>
        <v>46020.437982060183</v>
      </c>
      <c r="I201" s="92">
        <f t="shared" ca="1" si="10"/>
        <v>110.56201793981745</v>
      </c>
      <c r="J201" s="93" t="str">
        <f t="shared" ca="1" si="11"/>
        <v>ACTIVE</v>
      </c>
      <c r="K201" s="93" t="s">
        <v>397</v>
      </c>
    </row>
    <row r="202" spans="1:27" s="47" customFormat="1" ht="31.5" customHeight="1">
      <c r="A202" s="97">
        <v>4</v>
      </c>
      <c r="B202" s="88">
        <f>VLOOKUP(A202, COSTS!$B$7:$C$13, 2, FALSE)</f>
        <v>245</v>
      </c>
      <c r="C202" s="97" t="s">
        <v>70</v>
      </c>
      <c r="D202" s="98">
        <v>45707</v>
      </c>
      <c r="E202" s="98">
        <v>45827</v>
      </c>
      <c r="F202" s="99">
        <v>972572588</v>
      </c>
      <c r="G202" s="99" t="s">
        <v>71</v>
      </c>
      <c r="H202" s="91">
        <f t="shared" ca="1" si="9"/>
        <v>46020.437982060183</v>
      </c>
      <c r="I202" s="92">
        <f t="shared" ca="1" si="10"/>
        <v>-193.43798206018255</v>
      </c>
      <c r="J202" s="93" t="str">
        <f t="shared" ca="1" si="11"/>
        <v>EXPIRED</v>
      </c>
      <c r="K202" s="93" t="s">
        <v>397</v>
      </c>
    </row>
    <row r="203" spans="1:27" s="47" customFormat="1" ht="31.5" customHeight="1">
      <c r="A203" s="94">
        <v>1</v>
      </c>
      <c r="B203" s="88">
        <f>VLOOKUP(A203, COSTS!$B$7:$C$13, 2, FALSE)</f>
        <v>65</v>
      </c>
      <c r="C203" s="94" t="s">
        <v>62</v>
      </c>
      <c r="D203" s="95">
        <v>45704</v>
      </c>
      <c r="E203" s="95">
        <v>46069</v>
      </c>
      <c r="F203" s="96">
        <v>972550911</v>
      </c>
      <c r="G203" s="96" t="s">
        <v>63</v>
      </c>
      <c r="H203" s="91">
        <f t="shared" ca="1" si="9"/>
        <v>46020.437982060183</v>
      </c>
      <c r="I203" s="92">
        <f t="shared" ca="1" si="10"/>
        <v>48.562017939817451</v>
      </c>
      <c r="J203" s="93" t="str">
        <f t="shared" ca="1" si="11"/>
        <v>ACTIVE</v>
      </c>
      <c r="K203" s="93" t="s">
        <v>397</v>
      </c>
    </row>
    <row r="204" spans="1:27" s="47" customFormat="1" ht="31.5" customHeight="1">
      <c r="A204" s="97">
        <v>2</v>
      </c>
      <c r="B204" s="88">
        <f>VLOOKUP(A204, COSTS!$B$7:$C$13, 2, FALSE)</f>
        <v>125</v>
      </c>
      <c r="C204" s="97"/>
      <c r="D204" s="102">
        <v>45645</v>
      </c>
      <c r="E204" s="102">
        <v>46010</v>
      </c>
      <c r="F204" s="99">
        <v>970995044</v>
      </c>
      <c r="G204" s="99" t="s">
        <v>14</v>
      </c>
      <c r="H204" s="91">
        <f t="shared" ca="1" si="9"/>
        <v>46020.437982060183</v>
      </c>
      <c r="I204" s="92">
        <f t="shared" ca="1" si="10"/>
        <v>-10.437982060182549</v>
      </c>
      <c r="J204" s="93" t="str">
        <f t="shared" ca="1" si="11"/>
        <v>EXPIRED</v>
      </c>
      <c r="K204" s="107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 spans="1:27" s="47" customFormat="1" ht="31.5" customHeight="1">
      <c r="A205" s="59"/>
      <c r="B205" s="57"/>
      <c r="C205" s="60"/>
      <c r="D205" s="44"/>
      <c r="E205" s="44"/>
      <c r="F205" s="36"/>
      <c r="G205" s="36"/>
      <c r="H205" s="58"/>
      <c r="I205" s="66"/>
      <c r="J205" s="67"/>
      <c r="K205" s="69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 spans="1:27" s="47" customFormat="1" ht="31.5" customHeight="1"/>
    <row r="207" spans="1:27" s="47" customFormat="1" ht="31.5" customHeight="1"/>
    <row r="208" spans="1:27" s="47" customFormat="1" ht="31.5" customHeight="1"/>
    <row r="209" spans="1:8" s="47" customFormat="1" ht="31.5" customHeight="1"/>
    <row r="210" spans="1:8" s="47" customFormat="1" ht="31.5" customHeight="1"/>
    <row r="211" spans="1:8" s="47" customFormat="1" ht="31.5" customHeight="1"/>
    <row r="212" spans="1:8" s="47" customFormat="1" ht="31.5" customHeight="1"/>
    <row r="213" spans="1:8" s="47" customFormat="1" ht="31.5" customHeight="1"/>
    <row r="214" spans="1:8" s="47" customFormat="1" ht="31.5" customHeight="1"/>
    <row r="215" spans="1:8" s="47" customFormat="1" ht="31.5" customHeight="1">
      <c r="A215" s="70"/>
      <c r="B215" s="71"/>
      <c r="D215" s="46"/>
      <c r="E215" s="46"/>
      <c r="H215" s="72"/>
    </row>
    <row r="216" spans="1:8" s="47" customFormat="1" ht="31.5" customHeight="1">
      <c r="A216" s="70"/>
      <c r="B216" s="71"/>
      <c r="D216" s="46"/>
      <c r="E216" s="46"/>
      <c r="H216" s="72"/>
    </row>
    <row r="217" spans="1:8" s="47" customFormat="1" ht="31.5" customHeight="1">
      <c r="A217" s="70"/>
      <c r="B217" s="71"/>
      <c r="D217" s="46"/>
      <c r="E217" s="46"/>
      <c r="H217" s="72"/>
    </row>
    <row r="218" spans="1:8" s="47" customFormat="1" ht="31.5" customHeight="1">
      <c r="A218" s="70"/>
      <c r="B218" s="71"/>
      <c r="D218" s="46"/>
      <c r="E218" s="46"/>
      <c r="H218" s="72"/>
    </row>
    <row r="219" spans="1:8" s="47" customFormat="1" ht="31.5" customHeight="1">
      <c r="A219" s="70"/>
      <c r="B219" s="71"/>
      <c r="D219" s="46"/>
      <c r="E219" s="46"/>
      <c r="H219" s="72"/>
    </row>
    <row r="220" spans="1:8" s="47" customFormat="1" ht="31.5" customHeight="1">
      <c r="A220" s="70"/>
      <c r="B220" s="71"/>
      <c r="D220" s="46"/>
      <c r="E220" s="46"/>
      <c r="H220" s="72"/>
    </row>
    <row r="221" spans="1:8" s="47" customFormat="1" ht="31.5" customHeight="1">
      <c r="A221" s="70"/>
      <c r="B221" s="71"/>
      <c r="D221" s="46"/>
      <c r="E221" s="46"/>
      <c r="H221" s="72"/>
    </row>
    <row r="222" spans="1:8" s="47" customFormat="1" ht="31.5" customHeight="1">
      <c r="A222" s="70"/>
      <c r="B222" s="71"/>
      <c r="D222" s="46"/>
      <c r="E222" s="46"/>
      <c r="H222" s="72"/>
    </row>
    <row r="223" spans="1:8" s="47" customFormat="1" ht="31.5" customHeight="1">
      <c r="A223" s="70"/>
      <c r="B223" s="71"/>
      <c r="D223" s="46"/>
      <c r="E223" s="46"/>
      <c r="H223" s="72"/>
    </row>
    <row r="224" spans="1:8" s="47" customFormat="1" ht="31.5" customHeight="1">
      <c r="A224" s="70"/>
      <c r="B224" s="71"/>
      <c r="D224" s="46"/>
      <c r="E224" s="46"/>
      <c r="H224" s="72"/>
    </row>
    <row r="225" spans="1:11" s="47" customFormat="1" ht="31.5" customHeight="1">
      <c r="A225" s="70"/>
      <c r="B225" s="71"/>
      <c r="D225" s="46"/>
      <c r="E225" s="46"/>
      <c r="H225" s="72"/>
    </row>
    <row r="226" spans="1:11" s="47" customFormat="1" ht="31.5" customHeight="1">
      <c r="A226" s="70"/>
      <c r="B226" s="71"/>
      <c r="D226" s="46"/>
      <c r="E226" s="46"/>
      <c r="H226" s="72"/>
    </row>
    <row r="227" spans="1:11" s="47" customFormat="1" ht="31.5" customHeight="1">
      <c r="A227" s="70"/>
      <c r="B227" s="71"/>
      <c r="D227" s="46"/>
      <c r="E227" s="46"/>
      <c r="H227" s="72"/>
    </row>
    <row r="228" spans="1:11" s="47" customFormat="1" ht="31.5" customHeight="1">
      <c r="A228" s="70"/>
      <c r="B228" s="71"/>
      <c r="D228" s="46"/>
      <c r="E228" s="46"/>
      <c r="H228" s="72"/>
    </row>
    <row r="229" spans="1:11" s="47" customFormat="1" ht="31.5" customHeight="1">
      <c r="A229" s="70"/>
      <c r="B229" s="71"/>
      <c r="D229" s="46"/>
      <c r="E229" s="46"/>
      <c r="H229" s="72"/>
    </row>
    <row r="230" spans="1:11" s="47" customFormat="1" ht="31.5" customHeight="1">
      <c r="A230" s="70"/>
      <c r="B230" s="71"/>
      <c r="D230" s="46"/>
      <c r="E230" s="46"/>
      <c r="H230" s="72"/>
    </row>
    <row r="231" spans="1:11" s="47" customFormat="1" ht="31.5" customHeight="1">
      <c r="A231" s="70"/>
      <c r="B231" s="71"/>
      <c r="D231" s="46"/>
      <c r="E231" s="46"/>
      <c r="H231" s="72"/>
    </row>
    <row r="232" spans="1:11" s="47" customFormat="1" ht="31.5" customHeight="1">
      <c r="A232" s="70"/>
      <c r="B232" s="71"/>
      <c r="D232" s="46"/>
      <c r="E232" s="46"/>
      <c r="H232" s="72"/>
    </row>
    <row r="233" spans="1:11" s="47" customFormat="1" ht="31.5" customHeight="1">
      <c r="A233" s="70"/>
      <c r="B233" s="71"/>
      <c r="D233" s="46"/>
      <c r="E233" s="46"/>
      <c r="H233" s="72"/>
    </row>
    <row r="234" spans="1:11" ht="15.75" customHeight="1">
      <c r="J234" s="4"/>
      <c r="K234" s="4"/>
    </row>
    <row r="235" spans="1:11" ht="15.75" customHeight="1">
      <c r="J235" s="4"/>
      <c r="K235" s="4"/>
    </row>
    <row r="236" spans="1:11" ht="15.75" customHeight="1">
      <c r="J236" s="4"/>
      <c r="K236" s="4"/>
    </row>
    <row r="237" spans="1:11" ht="15.75" customHeight="1">
      <c r="J237" s="4"/>
      <c r="K237" s="4"/>
    </row>
    <row r="238" spans="1:11" ht="15.75" customHeight="1">
      <c r="J238" s="4"/>
      <c r="K238" s="4"/>
    </row>
    <row r="239" spans="1:11" ht="15.75" customHeight="1">
      <c r="J239" s="4"/>
      <c r="K239" s="4"/>
    </row>
    <row r="240" spans="1:11" ht="15.75" customHeight="1">
      <c r="J240" s="4"/>
      <c r="K240" s="4"/>
    </row>
    <row r="241" spans="10:11" ht="15.75" customHeight="1">
      <c r="J241" s="4"/>
      <c r="K241" s="4"/>
    </row>
    <row r="242" spans="10:11" ht="15.75" customHeight="1">
      <c r="J242" s="4"/>
      <c r="K242" s="4"/>
    </row>
    <row r="243" spans="10:11" ht="15.75" customHeight="1">
      <c r="J243" s="4"/>
      <c r="K243" s="4"/>
    </row>
    <row r="244" spans="10:11" ht="15.75" customHeight="1">
      <c r="J244" s="4"/>
      <c r="K244" s="4"/>
    </row>
    <row r="245" spans="10:11" ht="15.75" customHeight="1">
      <c r="J245" s="4"/>
      <c r="K245" s="4"/>
    </row>
    <row r="246" spans="10:11" ht="15.75" customHeight="1">
      <c r="J246" s="4"/>
      <c r="K246" s="4"/>
    </row>
    <row r="247" spans="10:11" ht="15.75" customHeight="1">
      <c r="J247" s="4"/>
      <c r="K247" s="4"/>
    </row>
    <row r="248" spans="10:11" ht="15.75" customHeight="1">
      <c r="J248" s="4"/>
      <c r="K248" s="4"/>
    </row>
    <row r="249" spans="10:11" ht="15.75" customHeight="1">
      <c r="J249" s="4"/>
      <c r="K249" s="4"/>
    </row>
    <row r="250" spans="10:11" ht="15.75" customHeight="1">
      <c r="J250" s="4"/>
      <c r="K250" s="4"/>
    </row>
    <row r="251" spans="10:11" ht="15.75" customHeight="1">
      <c r="J251" s="4"/>
      <c r="K251" s="4"/>
    </row>
    <row r="252" spans="10:11" ht="15.75" customHeight="1">
      <c r="J252" s="4"/>
      <c r="K252" s="4"/>
    </row>
    <row r="253" spans="10:11" ht="15.75" customHeight="1">
      <c r="J253" s="4"/>
      <c r="K253" s="4"/>
    </row>
    <row r="254" spans="10:11" ht="15.75" customHeight="1">
      <c r="J254" s="4"/>
      <c r="K254" s="4"/>
    </row>
    <row r="255" spans="10:11" ht="15.75" customHeight="1">
      <c r="J255" s="4"/>
      <c r="K255" s="4"/>
    </row>
    <row r="256" spans="10:11" ht="15.75" customHeight="1">
      <c r="J256" s="4"/>
      <c r="K256" s="4"/>
    </row>
    <row r="257" spans="10:11" ht="15.75" customHeight="1">
      <c r="J257" s="4"/>
      <c r="K257" s="4"/>
    </row>
    <row r="258" spans="10:11" ht="15.75" customHeight="1">
      <c r="J258" s="4"/>
      <c r="K258" s="4"/>
    </row>
    <row r="259" spans="10:11" ht="15.75" customHeight="1">
      <c r="J259" s="4"/>
      <c r="K259" s="4"/>
    </row>
    <row r="260" spans="10:11" ht="15.75" customHeight="1">
      <c r="J260" s="4"/>
      <c r="K260" s="4"/>
    </row>
    <row r="261" spans="10:11" ht="15.75" customHeight="1">
      <c r="J261" s="4"/>
      <c r="K261" s="4"/>
    </row>
    <row r="262" spans="10:11" ht="15.75" customHeight="1">
      <c r="J262" s="4"/>
      <c r="K262" s="4"/>
    </row>
    <row r="263" spans="10:11" ht="15.75" customHeight="1">
      <c r="J263" s="4"/>
      <c r="K263" s="4"/>
    </row>
    <row r="264" spans="10:11" ht="15.75" customHeight="1">
      <c r="J264" s="4"/>
      <c r="K264" s="4"/>
    </row>
    <row r="265" spans="10:11" ht="15.75" customHeight="1">
      <c r="J265" s="4"/>
      <c r="K265" s="4"/>
    </row>
    <row r="266" spans="10:11" ht="15.75" customHeight="1">
      <c r="J266" s="4"/>
      <c r="K266" s="4"/>
    </row>
    <row r="267" spans="10:11" ht="15.75" customHeight="1">
      <c r="J267" s="4"/>
      <c r="K267" s="4"/>
    </row>
    <row r="268" spans="10:11" ht="15.75" customHeight="1">
      <c r="J268" s="4"/>
      <c r="K268" s="4"/>
    </row>
    <row r="269" spans="10:11" ht="15.75" customHeight="1">
      <c r="J269" s="4"/>
      <c r="K269" s="4"/>
    </row>
    <row r="270" spans="10:11" ht="15.75" customHeight="1">
      <c r="J270" s="4"/>
      <c r="K270" s="4"/>
    </row>
    <row r="271" spans="10:11" ht="15.75" customHeight="1">
      <c r="J271" s="4"/>
      <c r="K271" s="4"/>
    </row>
    <row r="272" spans="10:11" ht="15.75" customHeight="1">
      <c r="J272" s="4"/>
      <c r="K272" s="4"/>
    </row>
    <row r="273" spans="10:11" ht="15.75" customHeight="1">
      <c r="J273" s="4"/>
      <c r="K273" s="4"/>
    </row>
    <row r="274" spans="10:11" ht="15.75" customHeight="1">
      <c r="J274" s="4"/>
      <c r="K274" s="4"/>
    </row>
    <row r="275" spans="10:11" ht="15.75" customHeight="1">
      <c r="J275" s="4"/>
      <c r="K275" s="4"/>
    </row>
    <row r="276" spans="10:11" ht="15.75" customHeight="1">
      <c r="J276" s="4"/>
      <c r="K276" s="4"/>
    </row>
    <row r="277" spans="10:11" ht="15.75" customHeight="1">
      <c r="J277" s="4"/>
      <c r="K277" s="4"/>
    </row>
    <row r="278" spans="10:11" ht="15.75" customHeight="1">
      <c r="J278" s="4"/>
      <c r="K278" s="4"/>
    </row>
    <row r="279" spans="10:11" ht="15.75" customHeight="1">
      <c r="J279" s="4"/>
      <c r="K279" s="4"/>
    </row>
    <row r="280" spans="10:11" ht="15.75" customHeight="1">
      <c r="J280" s="4"/>
      <c r="K280" s="4"/>
    </row>
    <row r="281" spans="10:11" ht="15.75" customHeight="1">
      <c r="J281" s="4"/>
      <c r="K281" s="4"/>
    </row>
    <row r="282" spans="10:11" ht="15.75" customHeight="1">
      <c r="J282" s="4"/>
      <c r="K282" s="4"/>
    </row>
    <row r="283" spans="10:11" ht="15.75" customHeight="1">
      <c r="J283" s="4"/>
      <c r="K283" s="4"/>
    </row>
    <row r="284" spans="10:11" ht="15.75" customHeight="1">
      <c r="J284" s="4"/>
      <c r="K284" s="4"/>
    </row>
    <row r="285" spans="10:11" ht="15.75" customHeight="1">
      <c r="J285" s="4"/>
      <c r="K285" s="4"/>
    </row>
    <row r="286" spans="10:11" ht="15.75" customHeight="1">
      <c r="J286" s="4"/>
      <c r="K286" s="4"/>
    </row>
    <row r="287" spans="10:11" ht="15.75" customHeight="1">
      <c r="J287" s="4"/>
      <c r="K287" s="4"/>
    </row>
    <row r="288" spans="10:11" ht="15.75" customHeight="1">
      <c r="J288" s="4"/>
      <c r="K288" s="4"/>
    </row>
    <row r="289" spans="10:11" ht="15.75" customHeight="1">
      <c r="J289" s="4"/>
      <c r="K289" s="4"/>
    </row>
    <row r="290" spans="10:11" ht="15.75" customHeight="1">
      <c r="J290" s="4"/>
      <c r="K290" s="4"/>
    </row>
    <row r="291" spans="10:11" ht="15.75" customHeight="1">
      <c r="J291" s="4"/>
      <c r="K291" s="4"/>
    </row>
    <row r="292" spans="10:11" ht="15.75" customHeight="1">
      <c r="J292" s="4"/>
      <c r="K292" s="4"/>
    </row>
    <row r="293" spans="10:11" ht="15.75" customHeight="1">
      <c r="J293" s="4"/>
      <c r="K293" s="4"/>
    </row>
    <row r="294" spans="10:11" ht="15.75" customHeight="1">
      <c r="J294" s="4"/>
      <c r="K294" s="4"/>
    </row>
    <row r="295" spans="10:11" ht="15.75" customHeight="1">
      <c r="J295" s="4"/>
      <c r="K295" s="4"/>
    </row>
    <row r="296" spans="10:11" ht="15.75" customHeight="1">
      <c r="J296" s="4"/>
      <c r="K296" s="4"/>
    </row>
    <row r="297" spans="10:11" ht="15.75" customHeight="1">
      <c r="J297" s="4"/>
      <c r="K297" s="4"/>
    </row>
    <row r="298" spans="10:11" ht="15.75" customHeight="1">
      <c r="J298" s="4"/>
      <c r="K298" s="4"/>
    </row>
    <row r="299" spans="10:11" ht="15.75" customHeight="1">
      <c r="J299" s="4"/>
      <c r="K299" s="4"/>
    </row>
    <row r="300" spans="10:11" ht="15.75" customHeight="1">
      <c r="J300" s="4"/>
      <c r="K300" s="4"/>
    </row>
    <row r="301" spans="10:11" ht="15.75" customHeight="1">
      <c r="J301" s="4"/>
      <c r="K301" s="4"/>
    </row>
    <row r="302" spans="10:11" ht="15.75" customHeight="1">
      <c r="J302" s="4"/>
      <c r="K302" s="4"/>
    </row>
    <row r="303" spans="10:11" ht="15.75" customHeight="1">
      <c r="J303" s="4"/>
      <c r="K303" s="4"/>
    </row>
    <row r="304" spans="10:11" ht="15.75" customHeight="1">
      <c r="J304" s="4"/>
      <c r="K304" s="4"/>
    </row>
    <row r="305" spans="10:11" ht="15.75" customHeight="1">
      <c r="J305" s="4"/>
      <c r="K305" s="4"/>
    </row>
    <row r="306" spans="10:11" ht="15.75" customHeight="1">
      <c r="J306" s="4"/>
      <c r="K306" s="4"/>
    </row>
    <row r="307" spans="10:11" ht="15.75" customHeight="1">
      <c r="J307" s="4"/>
      <c r="K307" s="4"/>
    </row>
    <row r="308" spans="10:11" ht="15.75" customHeight="1">
      <c r="J308" s="4"/>
      <c r="K308" s="4"/>
    </row>
    <row r="309" spans="10:11" ht="15.75" customHeight="1">
      <c r="J309" s="4"/>
      <c r="K309" s="4"/>
    </row>
    <row r="310" spans="10:11" ht="15.75" customHeight="1">
      <c r="J310" s="4"/>
      <c r="K310" s="4"/>
    </row>
    <row r="311" spans="10:11" ht="15.75" customHeight="1">
      <c r="J311" s="4"/>
      <c r="K311" s="4"/>
    </row>
    <row r="312" spans="10:11" ht="15.75" customHeight="1">
      <c r="J312" s="4"/>
      <c r="K312" s="4"/>
    </row>
    <row r="313" spans="10:11" ht="15.75" customHeight="1">
      <c r="J313" s="4"/>
      <c r="K313" s="4"/>
    </row>
    <row r="314" spans="10:11" ht="15.75" customHeight="1">
      <c r="J314" s="4"/>
      <c r="K314" s="4"/>
    </row>
    <row r="315" spans="10:11" ht="15.75" customHeight="1">
      <c r="J315" s="4"/>
      <c r="K315" s="4"/>
    </row>
    <row r="316" spans="10:11" ht="15.75" customHeight="1">
      <c r="J316" s="4"/>
      <c r="K316" s="4"/>
    </row>
    <row r="317" spans="10:11" ht="15.75" customHeight="1">
      <c r="J317" s="4"/>
      <c r="K317" s="4"/>
    </row>
    <row r="318" spans="10:11" ht="15.75" customHeight="1">
      <c r="J318" s="4"/>
      <c r="K318" s="4"/>
    </row>
    <row r="319" spans="10:11" ht="15.75" customHeight="1">
      <c r="J319" s="4"/>
      <c r="K319" s="4"/>
    </row>
    <row r="320" spans="10:11" ht="15.75" customHeight="1">
      <c r="J320" s="4"/>
      <c r="K320" s="4"/>
    </row>
    <row r="321" spans="10:11" ht="15.75" customHeight="1">
      <c r="J321" s="4"/>
      <c r="K321" s="4"/>
    </row>
    <row r="322" spans="10:11" ht="15.75" customHeight="1">
      <c r="J322" s="4"/>
      <c r="K322" s="4"/>
    </row>
    <row r="323" spans="10:11" ht="15.75" customHeight="1">
      <c r="J323" s="4"/>
      <c r="K323" s="4"/>
    </row>
    <row r="324" spans="10:11" ht="15.75" customHeight="1">
      <c r="J324" s="4"/>
      <c r="K324" s="4"/>
    </row>
    <row r="325" spans="10:11" ht="15.75" customHeight="1">
      <c r="J325" s="4"/>
      <c r="K325" s="4"/>
    </row>
    <row r="326" spans="10:11" ht="15.75" customHeight="1">
      <c r="J326" s="4"/>
      <c r="K326" s="4"/>
    </row>
    <row r="327" spans="10:11" ht="15.75" customHeight="1">
      <c r="J327" s="4"/>
      <c r="K327" s="4"/>
    </row>
    <row r="328" spans="10:11" ht="15.75" customHeight="1">
      <c r="J328" s="4"/>
      <c r="K328" s="4"/>
    </row>
    <row r="329" spans="10:11" ht="15.75" customHeight="1">
      <c r="J329" s="4"/>
      <c r="K329" s="4"/>
    </row>
    <row r="330" spans="10:11" ht="15.75" customHeight="1">
      <c r="J330" s="4"/>
      <c r="K330" s="4"/>
    </row>
    <row r="331" spans="10:11" ht="15.75" customHeight="1">
      <c r="J331" s="4"/>
      <c r="K331" s="4"/>
    </row>
    <row r="332" spans="10:11" ht="15.75" customHeight="1">
      <c r="J332" s="4"/>
      <c r="K332" s="4"/>
    </row>
    <row r="333" spans="10:11" ht="15.75" customHeight="1">
      <c r="J333" s="4"/>
      <c r="K333" s="4"/>
    </row>
    <row r="334" spans="10:11" ht="15.75" customHeight="1">
      <c r="J334" s="4"/>
      <c r="K334" s="4"/>
    </row>
    <row r="335" spans="10:11" ht="15.75" customHeight="1">
      <c r="J335" s="4"/>
      <c r="K335" s="4"/>
    </row>
    <row r="336" spans="10:11" ht="15.75" customHeight="1">
      <c r="J336" s="4"/>
      <c r="K336" s="4"/>
    </row>
    <row r="337" spans="10:11" ht="15.75" customHeight="1">
      <c r="J337" s="4"/>
      <c r="K337" s="4"/>
    </row>
    <row r="338" spans="10:11" ht="15.75" customHeight="1">
      <c r="J338" s="4"/>
      <c r="K338" s="4"/>
    </row>
    <row r="339" spans="10:11" ht="15.75" customHeight="1">
      <c r="J339" s="4"/>
      <c r="K339" s="4"/>
    </row>
    <row r="340" spans="10:11" ht="15.75" customHeight="1">
      <c r="J340" s="4"/>
      <c r="K340" s="4"/>
    </row>
    <row r="341" spans="10:11" ht="15.75" customHeight="1">
      <c r="J341" s="4"/>
      <c r="K341" s="4"/>
    </row>
    <row r="342" spans="10:11" ht="15.75" customHeight="1">
      <c r="J342" s="4"/>
      <c r="K342" s="4"/>
    </row>
    <row r="343" spans="10:11" ht="15.75" customHeight="1">
      <c r="J343" s="4"/>
      <c r="K343" s="4"/>
    </row>
    <row r="344" spans="10:11" ht="15.75" customHeight="1">
      <c r="J344" s="4"/>
      <c r="K344" s="4"/>
    </row>
    <row r="345" spans="10:11" ht="15.75" customHeight="1">
      <c r="J345" s="4"/>
      <c r="K345" s="4"/>
    </row>
    <row r="346" spans="10:11" ht="15.75" customHeight="1">
      <c r="J346" s="4"/>
      <c r="K346" s="4"/>
    </row>
    <row r="347" spans="10:11" ht="15.75" customHeight="1">
      <c r="J347" s="4"/>
      <c r="K347" s="4"/>
    </row>
    <row r="348" spans="10:11" ht="15.75" customHeight="1">
      <c r="J348" s="4"/>
      <c r="K348" s="4"/>
    </row>
    <row r="349" spans="10:11" ht="15.75" customHeight="1">
      <c r="J349" s="4"/>
      <c r="K349" s="4"/>
    </row>
    <row r="350" spans="10:11" ht="15.75" customHeight="1">
      <c r="J350" s="4"/>
      <c r="K350" s="4"/>
    </row>
    <row r="351" spans="10:11" ht="15.75" customHeight="1">
      <c r="J351" s="4"/>
      <c r="K351" s="4"/>
    </row>
    <row r="352" spans="10:11" ht="15.75" customHeight="1">
      <c r="J352" s="4"/>
      <c r="K352" s="4"/>
    </row>
    <row r="353" spans="10:11" ht="15.75" customHeight="1">
      <c r="J353" s="4"/>
      <c r="K353" s="4"/>
    </row>
    <row r="354" spans="10:11" ht="15.75" customHeight="1">
      <c r="J354" s="4"/>
      <c r="K354" s="4"/>
    </row>
    <row r="355" spans="10:11" ht="15.75" customHeight="1">
      <c r="J355" s="4"/>
      <c r="K355" s="4"/>
    </row>
    <row r="356" spans="10:11" ht="15.75" customHeight="1">
      <c r="J356" s="4"/>
      <c r="K356" s="4"/>
    </row>
    <row r="357" spans="10:11" ht="15.75" customHeight="1">
      <c r="J357" s="4"/>
      <c r="K357" s="4"/>
    </row>
    <row r="358" spans="10:11" ht="15.75" customHeight="1">
      <c r="J358" s="4"/>
      <c r="K358" s="4"/>
    </row>
    <row r="359" spans="10:11" ht="15.75" customHeight="1">
      <c r="J359" s="4"/>
      <c r="K359" s="4"/>
    </row>
    <row r="360" spans="10:11" ht="15.75" customHeight="1">
      <c r="J360" s="4"/>
      <c r="K360" s="4"/>
    </row>
    <row r="361" spans="10:11" ht="15.75" customHeight="1">
      <c r="J361" s="4"/>
      <c r="K361" s="4"/>
    </row>
    <row r="362" spans="10:11" ht="15.75" customHeight="1">
      <c r="J362" s="4"/>
      <c r="K362" s="4"/>
    </row>
    <row r="363" spans="10:11" ht="15.75" customHeight="1">
      <c r="J363" s="4"/>
      <c r="K363" s="4"/>
    </row>
    <row r="364" spans="10:11" ht="15.75" customHeight="1">
      <c r="J364" s="4"/>
      <c r="K364" s="4"/>
    </row>
    <row r="365" spans="10:11" ht="15.75" customHeight="1">
      <c r="J365" s="4"/>
      <c r="K365" s="4"/>
    </row>
    <row r="366" spans="10:11" ht="15.75" customHeight="1">
      <c r="J366" s="4"/>
      <c r="K366" s="4"/>
    </row>
    <row r="367" spans="10:11" ht="15.75" customHeight="1">
      <c r="J367" s="4"/>
      <c r="K367" s="4"/>
    </row>
    <row r="368" spans="10:11" ht="15.75" customHeight="1">
      <c r="J368" s="4"/>
      <c r="K368" s="4"/>
    </row>
    <row r="369" spans="10:11" ht="15.75" customHeight="1">
      <c r="J369" s="4"/>
      <c r="K369" s="4"/>
    </row>
    <row r="370" spans="10:11" ht="15.75" customHeight="1">
      <c r="J370" s="4"/>
      <c r="K370" s="4"/>
    </row>
    <row r="371" spans="10:11" ht="15.75" customHeight="1">
      <c r="J371" s="4"/>
      <c r="K371" s="4"/>
    </row>
    <row r="372" spans="10:11" ht="15.75" customHeight="1">
      <c r="J372" s="4"/>
      <c r="K372" s="4"/>
    </row>
    <row r="373" spans="10:11" ht="15.75" customHeight="1">
      <c r="J373" s="4"/>
      <c r="K373" s="4"/>
    </row>
    <row r="374" spans="10:11" ht="15.75" customHeight="1">
      <c r="J374" s="4"/>
      <c r="K374" s="4"/>
    </row>
    <row r="375" spans="10:11" ht="15.75" customHeight="1">
      <c r="J375" s="4"/>
      <c r="K375" s="4"/>
    </row>
    <row r="376" spans="10:11" ht="15.75" customHeight="1">
      <c r="J376" s="4"/>
      <c r="K376" s="4"/>
    </row>
    <row r="377" spans="10:11" ht="15.75" customHeight="1">
      <c r="J377" s="4"/>
      <c r="K377" s="4"/>
    </row>
    <row r="378" spans="10:11" ht="15.75" customHeight="1">
      <c r="J378" s="4"/>
      <c r="K378" s="4"/>
    </row>
    <row r="379" spans="10:11" ht="15.75" customHeight="1">
      <c r="J379" s="4"/>
      <c r="K379" s="4"/>
    </row>
    <row r="380" spans="10:11" ht="15.75" customHeight="1">
      <c r="J380" s="4"/>
      <c r="K380" s="4"/>
    </row>
    <row r="381" spans="10:11" ht="15.75" customHeight="1">
      <c r="J381" s="4"/>
      <c r="K381" s="4"/>
    </row>
    <row r="382" spans="10:11" ht="15.75" customHeight="1">
      <c r="J382" s="4"/>
      <c r="K382" s="4"/>
    </row>
    <row r="383" spans="10:11" ht="15.75" customHeight="1">
      <c r="J383" s="4"/>
      <c r="K383" s="4"/>
    </row>
    <row r="384" spans="10:11" ht="15.75" customHeight="1">
      <c r="J384" s="4"/>
      <c r="K384" s="4"/>
    </row>
    <row r="385" spans="10:11" ht="15.75" customHeight="1">
      <c r="J385" s="4"/>
      <c r="K385" s="4"/>
    </row>
    <row r="386" spans="10:11" ht="15.75" customHeight="1">
      <c r="J386" s="4"/>
      <c r="K386" s="4"/>
    </row>
    <row r="387" spans="10:11" ht="15.75" customHeight="1">
      <c r="J387" s="4"/>
      <c r="K387" s="4"/>
    </row>
    <row r="388" spans="10:11" ht="15.75" customHeight="1">
      <c r="J388" s="4"/>
      <c r="K388" s="4"/>
    </row>
    <row r="389" spans="10:11" ht="15.75" customHeight="1">
      <c r="J389" s="4"/>
      <c r="K389" s="4"/>
    </row>
    <row r="390" spans="10:11" ht="15.75" customHeight="1">
      <c r="J390" s="4"/>
      <c r="K390" s="4"/>
    </row>
    <row r="391" spans="10:11" ht="15.75" customHeight="1">
      <c r="J391" s="4"/>
      <c r="K391" s="4"/>
    </row>
    <row r="392" spans="10:11" ht="15.75" customHeight="1">
      <c r="J392" s="4"/>
      <c r="K392" s="4"/>
    </row>
    <row r="393" spans="10:11" ht="15.75" customHeight="1">
      <c r="J393" s="4"/>
      <c r="K393" s="4"/>
    </row>
    <row r="394" spans="10:11" ht="15.75" customHeight="1">
      <c r="J394" s="4"/>
      <c r="K394" s="4"/>
    </row>
    <row r="395" spans="10:11" ht="15.75" customHeight="1">
      <c r="J395" s="4"/>
      <c r="K395" s="4"/>
    </row>
    <row r="396" spans="10:11" ht="15.75" customHeight="1">
      <c r="J396" s="4"/>
      <c r="K396" s="4"/>
    </row>
    <row r="397" spans="10:11" ht="15.75" customHeight="1">
      <c r="J397" s="4"/>
      <c r="K397" s="4"/>
    </row>
    <row r="398" spans="10:11" ht="15.75" customHeight="1">
      <c r="J398" s="4"/>
      <c r="K398" s="4"/>
    </row>
    <row r="399" spans="10:11" ht="15.75" customHeight="1">
      <c r="J399" s="4"/>
      <c r="K399" s="4"/>
    </row>
    <row r="400" spans="10:11" ht="15.75" customHeight="1">
      <c r="J400" s="4"/>
      <c r="K400" s="4"/>
    </row>
    <row r="401" spans="10:11" ht="15.75" customHeight="1">
      <c r="J401" s="4"/>
      <c r="K401" s="4"/>
    </row>
    <row r="402" spans="10:11" ht="15.75" customHeight="1">
      <c r="J402" s="4"/>
      <c r="K402" s="4"/>
    </row>
    <row r="403" spans="10:11" ht="15.75" customHeight="1">
      <c r="J403" s="4"/>
      <c r="K403" s="4"/>
    </row>
    <row r="404" spans="10:11" ht="15.75" customHeight="1">
      <c r="J404" s="4"/>
      <c r="K404" s="4"/>
    </row>
    <row r="405" spans="10:11" ht="15.75" customHeight="1">
      <c r="J405" s="4"/>
      <c r="K405" s="4"/>
    </row>
    <row r="406" spans="10:11" ht="15.75" customHeight="1">
      <c r="J406" s="4"/>
      <c r="K406" s="4"/>
    </row>
    <row r="407" spans="10:11" ht="15.75" customHeight="1">
      <c r="J407" s="4"/>
      <c r="K407" s="4"/>
    </row>
    <row r="408" spans="10:11" ht="15.75" customHeight="1">
      <c r="J408" s="4"/>
      <c r="K408" s="4"/>
    </row>
    <row r="409" spans="10:11" ht="15.75" customHeight="1">
      <c r="J409" s="4"/>
      <c r="K409" s="4"/>
    </row>
    <row r="410" spans="10:11" ht="15.75" customHeight="1">
      <c r="J410" s="4"/>
      <c r="K410" s="4"/>
    </row>
    <row r="411" spans="10:11" ht="15.75" customHeight="1">
      <c r="J411" s="4"/>
      <c r="K411" s="4"/>
    </row>
    <row r="412" spans="10:11" ht="15.75" customHeight="1">
      <c r="J412" s="4"/>
      <c r="K412" s="4"/>
    </row>
    <row r="413" spans="10:11" ht="15.75" customHeight="1">
      <c r="J413" s="4"/>
      <c r="K413" s="4"/>
    </row>
    <row r="414" spans="10:11" ht="15.75" customHeight="1">
      <c r="J414" s="4"/>
      <c r="K414" s="4"/>
    </row>
    <row r="415" spans="10:11" ht="15.75" customHeight="1">
      <c r="J415" s="4"/>
      <c r="K415" s="4"/>
    </row>
    <row r="416" spans="10:11" ht="15.75" customHeight="1">
      <c r="J416" s="4"/>
      <c r="K416" s="4"/>
    </row>
    <row r="417" spans="10:11" ht="15.75" customHeight="1">
      <c r="J417" s="4"/>
      <c r="K417" s="4"/>
    </row>
    <row r="418" spans="10:11" ht="15.75" customHeight="1">
      <c r="J418" s="4"/>
      <c r="K418" s="4"/>
    </row>
    <row r="419" spans="10:11" ht="15.75" customHeight="1">
      <c r="J419" s="4"/>
      <c r="K419" s="4"/>
    </row>
    <row r="420" spans="10:11" ht="15.75" customHeight="1">
      <c r="J420" s="4"/>
      <c r="K420" s="4"/>
    </row>
    <row r="421" spans="10:11" ht="15.75" customHeight="1">
      <c r="J421" s="4"/>
      <c r="K421" s="4"/>
    </row>
    <row r="422" spans="10:11" ht="15.75" customHeight="1">
      <c r="J422" s="4"/>
      <c r="K422" s="4"/>
    </row>
    <row r="423" spans="10:11" ht="15.75" customHeight="1">
      <c r="J423" s="4"/>
      <c r="K423" s="4"/>
    </row>
    <row r="424" spans="10:11" ht="15.75" customHeight="1">
      <c r="J424" s="4"/>
      <c r="K424" s="4"/>
    </row>
    <row r="425" spans="10:11" ht="15.75" customHeight="1">
      <c r="J425" s="4"/>
      <c r="K425" s="4"/>
    </row>
    <row r="426" spans="10:11" ht="15.75" customHeight="1">
      <c r="J426" s="4"/>
      <c r="K426" s="4"/>
    </row>
    <row r="427" spans="10:11" ht="15.75" customHeight="1">
      <c r="J427" s="4"/>
      <c r="K427" s="4"/>
    </row>
    <row r="428" spans="10:11" ht="15.75" customHeight="1">
      <c r="J428" s="4"/>
      <c r="K428" s="4"/>
    </row>
    <row r="429" spans="10:11" ht="15.75" customHeight="1">
      <c r="J429" s="4"/>
      <c r="K429" s="4"/>
    </row>
    <row r="430" spans="10:11" ht="15.75" customHeight="1">
      <c r="J430" s="4"/>
      <c r="K430" s="4"/>
    </row>
    <row r="431" spans="10:11" ht="15.75" customHeight="1">
      <c r="J431" s="4"/>
      <c r="K431" s="4"/>
    </row>
    <row r="432" spans="10:11" ht="15.75" customHeight="1">
      <c r="J432" s="4"/>
      <c r="K432" s="4"/>
    </row>
    <row r="433" spans="10:11" ht="15.75" customHeight="1">
      <c r="J433" s="4"/>
      <c r="K433" s="4"/>
    </row>
    <row r="434" spans="10:11" ht="15.75" customHeight="1">
      <c r="J434" s="4"/>
      <c r="K434" s="4"/>
    </row>
    <row r="435" spans="10:11" ht="15.75" customHeight="1">
      <c r="J435" s="4"/>
      <c r="K435" s="4"/>
    </row>
    <row r="436" spans="10:11" ht="15.75" customHeight="1">
      <c r="J436" s="4"/>
      <c r="K436" s="4"/>
    </row>
    <row r="437" spans="10:11" ht="15.75" customHeight="1">
      <c r="J437" s="4"/>
      <c r="K437" s="4"/>
    </row>
    <row r="438" spans="10:11" ht="15.75" customHeight="1">
      <c r="J438" s="4"/>
      <c r="K438" s="4"/>
    </row>
    <row r="439" spans="10:11" ht="15.75" customHeight="1">
      <c r="J439" s="4"/>
      <c r="K439" s="4"/>
    </row>
    <row r="440" spans="10:11" ht="15.75" customHeight="1">
      <c r="J440" s="4"/>
      <c r="K440" s="4"/>
    </row>
    <row r="441" spans="10:11" ht="15.75" customHeight="1">
      <c r="J441" s="4"/>
      <c r="K441" s="4"/>
    </row>
    <row r="442" spans="10:11" ht="15.75" customHeight="1">
      <c r="J442" s="4"/>
      <c r="K442" s="4"/>
    </row>
    <row r="443" spans="10:11" ht="15.75" customHeight="1">
      <c r="J443" s="4"/>
      <c r="K443" s="4"/>
    </row>
    <row r="444" spans="10:11" ht="15.75" customHeight="1">
      <c r="J444" s="4"/>
      <c r="K444" s="4"/>
    </row>
    <row r="445" spans="10:11" ht="15.75" customHeight="1">
      <c r="J445" s="4"/>
      <c r="K445" s="4"/>
    </row>
    <row r="446" spans="10:11" ht="15.75" customHeight="1">
      <c r="J446" s="4"/>
      <c r="K446" s="4"/>
    </row>
    <row r="447" spans="10:11" ht="15.75" customHeight="1">
      <c r="J447" s="4"/>
      <c r="K447" s="4"/>
    </row>
    <row r="448" spans="10:11" ht="15.75" customHeight="1">
      <c r="J448" s="4"/>
      <c r="K448" s="4"/>
    </row>
    <row r="449" spans="10:11" ht="15.75" customHeight="1">
      <c r="J449" s="4"/>
      <c r="K449" s="4"/>
    </row>
    <row r="450" spans="10:11" ht="15.75" customHeight="1">
      <c r="J450" s="4"/>
      <c r="K450" s="4"/>
    </row>
    <row r="451" spans="10:11" ht="15.75" customHeight="1">
      <c r="J451" s="4"/>
      <c r="K451" s="4"/>
    </row>
    <row r="452" spans="10:11" ht="15.75" customHeight="1">
      <c r="J452" s="4"/>
      <c r="K452" s="4"/>
    </row>
    <row r="453" spans="10:11" ht="15.75" customHeight="1">
      <c r="J453" s="4"/>
      <c r="K453" s="4"/>
    </row>
    <row r="454" spans="10:11" ht="15.75" customHeight="1">
      <c r="J454" s="4"/>
      <c r="K454" s="4"/>
    </row>
    <row r="455" spans="10:11" ht="15.75" customHeight="1">
      <c r="J455" s="4"/>
      <c r="K455" s="4"/>
    </row>
    <row r="456" spans="10:11" ht="15.75" customHeight="1">
      <c r="J456" s="4"/>
      <c r="K456" s="4"/>
    </row>
    <row r="457" spans="10:11" ht="15.75" customHeight="1">
      <c r="J457" s="4"/>
      <c r="K457" s="4"/>
    </row>
    <row r="458" spans="10:11" ht="15.75" customHeight="1">
      <c r="J458" s="4"/>
      <c r="K458" s="4"/>
    </row>
    <row r="459" spans="10:11" ht="15.75" customHeight="1">
      <c r="J459" s="4"/>
      <c r="K459" s="4"/>
    </row>
    <row r="460" spans="10:11" ht="15.75" customHeight="1">
      <c r="J460" s="4"/>
      <c r="K460" s="4"/>
    </row>
    <row r="461" spans="10:11" ht="15.75" customHeight="1">
      <c r="J461" s="4"/>
      <c r="K461" s="4"/>
    </row>
    <row r="462" spans="10:11" ht="15.75" customHeight="1">
      <c r="J462" s="4"/>
      <c r="K462" s="4"/>
    </row>
    <row r="463" spans="10:11" ht="15.75" customHeight="1">
      <c r="J463" s="4"/>
      <c r="K463" s="4"/>
    </row>
    <row r="464" spans="10:11" ht="15.75" customHeight="1">
      <c r="J464" s="4"/>
      <c r="K464" s="4"/>
    </row>
    <row r="465" spans="10:11" ht="15.75" customHeight="1">
      <c r="J465" s="4"/>
      <c r="K465" s="4"/>
    </row>
    <row r="466" spans="10:11" ht="15.75" customHeight="1">
      <c r="J466" s="4"/>
      <c r="K466" s="4"/>
    </row>
    <row r="467" spans="10:11" ht="15.75" customHeight="1">
      <c r="J467" s="4"/>
      <c r="K467" s="4"/>
    </row>
    <row r="468" spans="10:11" ht="15.75" customHeight="1">
      <c r="J468" s="4"/>
      <c r="K468" s="4"/>
    </row>
    <row r="469" spans="10:11" ht="15.75" customHeight="1">
      <c r="J469" s="4"/>
      <c r="K469" s="4"/>
    </row>
    <row r="470" spans="10:11" ht="15.75" customHeight="1">
      <c r="J470" s="4"/>
      <c r="K470" s="4"/>
    </row>
    <row r="471" spans="10:11" ht="15.75" customHeight="1">
      <c r="J471" s="4"/>
      <c r="K471" s="4"/>
    </row>
    <row r="472" spans="10:11" ht="15.75" customHeight="1">
      <c r="J472" s="4"/>
      <c r="K472" s="4"/>
    </row>
    <row r="473" spans="10:11" ht="15.75" customHeight="1">
      <c r="J473" s="4"/>
      <c r="K473" s="4"/>
    </row>
    <row r="474" spans="10:11" ht="15.75" customHeight="1">
      <c r="J474" s="4"/>
      <c r="K474" s="4"/>
    </row>
    <row r="475" spans="10:11" ht="15.75" customHeight="1">
      <c r="J475" s="4"/>
      <c r="K475" s="4"/>
    </row>
    <row r="476" spans="10:11" ht="15.75" customHeight="1">
      <c r="J476" s="4"/>
      <c r="K476" s="4"/>
    </row>
    <row r="477" spans="10:11" ht="15.75" customHeight="1">
      <c r="J477" s="4"/>
      <c r="K477" s="4"/>
    </row>
    <row r="478" spans="10:11" ht="15.75" customHeight="1">
      <c r="J478" s="4"/>
      <c r="K478" s="4"/>
    </row>
    <row r="479" spans="10:11" ht="15.75" customHeight="1">
      <c r="J479" s="4"/>
      <c r="K479" s="4"/>
    </row>
    <row r="480" spans="10:11" ht="15.75" customHeight="1">
      <c r="J480" s="4"/>
      <c r="K480" s="4"/>
    </row>
    <row r="481" spans="10:11" ht="15.75" customHeight="1">
      <c r="J481" s="4"/>
      <c r="K481" s="4"/>
    </row>
    <row r="482" spans="10:11" ht="15.75" customHeight="1">
      <c r="J482" s="4"/>
      <c r="K482" s="4"/>
    </row>
    <row r="483" spans="10:11" ht="15.75" customHeight="1">
      <c r="J483" s="4"/>
      <c r="K483" s="4"/>
    </row>
    <row r="484" spans="10:11" ht="15.75" customHeight="1">
      <c r="J484" s="4"/>
      <c r="K484" s="4"/>
    </row>
    <row r="485" spans="10:11" ht="15.75" customHeight="1">
      <c r="J485" s="4"/>
      <c r="K485" s="4"/>
    </row>
    <row r="486" spans="10:11" ht="15.75" customHeight="1">
      <c r="J486" s="4"/>
      <c r="K486" s="4"/>
    </row>
    <row r="487" spans="10:11" ht="15.75" customHeight="1">
      <c r="J487" s="4"/>
      <c r="K487" s="4"/>
    </row>
    <row r="488" spans="10:11" ht="15.75" customHeight="1">
      <c r="J488" s="4"/>
      <c r="K488" s="4"/>
    </row>
    <row r="489" spans="10:11" ht="15.75" customHeight="1">
      <c r="J489" s="4"/>
      <c r="K489" s="4"/>
    </row>
    <row r="490" spans="10:11" ht="15.75" customHeight="1">
      <c r="J490" s="4"/>
      <c r="K490" s="4"/>
    </row>
    <row r="491" spans="10:11" ht="15.75" customHeight="1">
      <c r="J491" s="4"/>
      <c r="K491" s="4"/>
    </row>
    <row r="492" spans="10:11" ht="15.75" customHeight="1">
      <c r="J492" s="4"/>
      <c r="K492" s="4"/>
    </row>
    <row r="493" spans="10:11" ht="15.75" customHeight="1">
      <c r="J493" s="4"/>
      <c r="K493" s="4"/>
    </row>
    <row r="494" spans="10:11" ht="15.75" customHeight="1">
      <c r="J494" s="4"/>
      <c r="K494" s="4"/>
    </row>
    <row r="495" spans="10:11" ht="15.75" customHeight="1">
      <c r="J495" s="4"/>
      <c r="K495" s="4"/>
    </row>
    <row r="496" spans="10:11" ht="15.75" customHeight="1">
      <c r="J496" s="4"/>
      <c r="K496" s="4"/>
    </row>
    <row r="497" spans="10:11" ht="15.75" customHeight="1">
      <c r="J497" s="4"/>
      <c r="K497" s="4"/>
    </row>
    <row r="498" spans="10:11" ht="15.75" customHeight="1">
      <c r="J498" s="4"/>
      <c r="K498" s="4"/>
    </row>
    <row r="499" spans="10:11" ht="15.75" customHeight="1">
      <c r="J499" s="4"/>
      <c r="K499" s="4"/>
    </row>
    <row r="500" spans="10:11" ht="15.75" customHeight="1">
      <c r="J500" s="4"/>
      <c r="K500" s="4"/>
    </row>
    <row r="501" spans="10:11" ht="15.75" customHeight="1">
      <c r="J501" s="4"/>
      <c r="K501" s="4"/>
    </row>
    <row r="502" spans="10:11" ht="15.75" customHeight="1">
      <c r="J502" s="4"/>
      <c r="K502" s="4"/>
    </row>
    <row r="503" spans="10:11" ht="15.75" customHeight="1">
      <c r="J503" s="4"/>
      <c r="K503" s="4"/>
    </row>
    <row r="504" spans="10:11" ht="15.75" customHeight="1">
      <c r="J504" s="4"/>
      <c r="K504" s="4"/>
    </row>
    <row r="505" spans="10:11" ht="15.75" customHeight="1">
      <c r="J505" s="4"/>
      <c r="K505" s="4"/>
    </row>
    <row r="506" spans="10:11" ht="15.75" customHeight="1">
      <c r="J506" s="4"/>
      <c r="K506" s="4"/>
    </row>
    <row r="507" spans="10:11" ht="15.75" customHeight="1">
      <c r="J507" s="4"/>
      <c r="K507" s="4"/>
    </row>
    <row r="508" spans="10:11" ht="15.75" customHeight="1">
      <c r="J508" s="4"/>
      <c r="K508" s="4"/>
    </row>
    <row r="509" spans="10:11" ht="15.75" customHeight="1">
      <c r="J509" s="4"/>
      <c r="K509" s="4"/>
    </row>
    <row r="510" spans="10:11" ht="15.75" customHeight="1">
      <c r="J510" s="4"/>
      <c r="K510" s="4"/>
    </row>
    <row r="511" spans="10:11" ht="15.75" customHeight="1">
      <c r="J511" s="4"/>
      <c r="K511" s="4"/>
    </row>
    <row r="512" spans="10:11" ht="15.75" customHeight="1">
      <c r="J512" s="4"/>
      <c r="K512" s="4"/>
    </row>
    <row r="513" spans="10:11" ht="15.75" customHeight="1">
      <c r="J513" s="4"/>
      <c r="K513" s="4"/>
    </row>
    <row r="514" spans="10:11" ht="15.75" customHeight="1">
      <c r="J514" s="4"/>
      <c r="K514" s="4"/>
    </row>
    <row r="515" spans="10:11" ht="15.75" customHeight="1">
      <c r="J515" s="4"/>
      <c r="K515" s="4"/>
    </row>
    <row r="516" spans="10:11" ht="15.75" customHeight="1">
      <c r="J516" s="4"/>
      <c r="K516" s="4"/>
    </row>
    <row r="517" spans="10:11" ht="15.75" customHeight="1">
      <c r="J517" s="4"/>
      <c r="K517" s="4"/>
    </row>
    <row r="518" spans="10:11" ht="15.75" customHeight="1">
      <c r="J518" s="4"/>
      <c r="K518" s="4"/>
    </row>
    <row r="519" spans="10:11" ht="15.75" customHeight="1">
      <c r="J519" s="4"/>
      <c r="K519" s="4"/>
    </row>
    <row r="520" spans="10:11" ht="15.75" customHeight="1">
      <c r="J520" s="4"/>
      <c r="K520" s="4"/>
    </row>
    <row r="521" spans="10:11" ht="15.75" customHeight="1">
      <c r="J521" s="4"/>
      <c r="K521" s="4"/>
    </row>
    <row r="522" spans="10:11" ht="15.75" customHeight="1">
      <c r="J522" s="4"/>
      <c r="K522" s="4"/>
    </row>
    <row r="523" spans="10:11" ht="15.75" customHeight="1">
      <c r="J523" s="4"/>
      <c r="K523" s="4"/>
    </row>
    <row r="524" spans="10:11" ht="15.75" customHeight="1">
      <c r="J524" s="4"/>
      <c r="K524" s="4"/>
    </row>
    <row r="525" spans="10:11" ht="15.75" customHeight="1">
      <c r="J525" s="4"/>
      <c r="K525" s="4"/>
    </row>
    <row r="526" spans="10:11" ht="15.75" customHeight="1">
      <c r="J526" s="4"/>
      <c r="K526" s="4"/>
    </row>
    <row r="527" spans="10:11" ht="15.75" customHeight="1">
      <c r="J527" s="4"/>
      <c r="K527" s="4"/>
    </row>
    <row r="528" spans="10:11" ht="15.75" customHeight="1">
      <c r="J528" s="4"/>
      <c r="K528" s="4"/>
    </row>
    <row r="529" spans="10:11" ht="15.75" customHeight="1">
      <c r="J529" s="4"/>
      <c r="K529" s="4"/>
    </row>
    <row r="530" spans="10:11" ht="15.75" customHeight="1">
      <c r="J530" s="4"/>
      <c r="K530" s="4"/>
    </row>
    <row r="531" spans="10:11" ht="15.75" customHeight="1">
      <c r="J531" s="4"/>
      <c r="K531" s="4"/>
    </row>
    <row r="532" spans="10:11" ht="15.75" customHeight="1">
      <c r="J532" s="4"/>
      <c r="K532" s="4"/>
    </row>
    <row r="533" spans="10:11" ht="15.75" customHeight="1">
      <c r="J533" s="4"/>
      <c r="K533" s="4"/>
    </row>
    <row r="534" spans="10:11" ht="15.75" customHeight="1">
      <c r="J534" s="4"/>
      <c r="K534" s="4"/>
    </row>
    <row r="535" spans="10:11" ht="15.75" customHeight="1">
      <c r="J535" s="4"/>
      <c r="K535" s="4"/>
    </row>
    <row r="536" spans="10:11" ht="15.75" customHeight="1">
      <c r="J536" s="4"/>
      <c r="K536" s="4"/>
    </row>
    <row r="537" spans="10:11" ht="15.75" customHeight="1">
      <c r="J537" s="4"/>
      <c r="K537" s="4"/>
    </row>
    <row r="538" spans="10:11" ht="15.75" customHeight="1">
      <c r="J538" s="4"/>
      <c r="K538" s="4"/>
    </row>
    <row r="539" spans="10:11" ht="15.75" customHeight="1">
      <c r="J539" s="4"/>
      <c r="K539" s="4"/>
    </row>
    <row r="540" spans="10:11" ht="15.75" customHeight="1">
      <c r="J540" s="4"/>
      <c r="K540" s="4"/>
    </row>
    <row r="541" spans="10:11" ht="15.75" customHeight="1">
      <c r="J541" s="4"/>
      <c r="K541" s="4"/>
    </row>
    <row r="542" spans="10:11" ht="15.75" customHeight="1">
      <c r="J542" s="4"/>
      <c r="K542" s="4"/>
    </row>
    <row r="543" spans="10:11" ht="15.75" customHeight="1">
      <c r="J543" s="4"/>
      <c r="K543" s="4"/>
    </row>
    <row r="544" spans="10:11" ht="15.75" customHeight="1">
      <c r="J544" s="4"/>
      <c r="K544" s="4"/>
    </row>
    <row r="545" spans="10:11" ht="15.75" customHeight="1">
      <c r="J545" s="4"/>
      <c r="K545" s="4"/>
    </row>
    <row r="546" spans="10:11" ht="15.75" customHeight="1">
      <c r="J546" s="4"/>
      <c r="K546" s="4"/>
    </row>
    <row r="547" spans="10:11" ht="15.75" customHeight="1">
      <c r="J547" s="4"/>
      <c r="K547" s="4"/>
    </row>
    <row r="548" spans="10:11" ht="15.75" customHeight="1">
      <c r="J548" s="4"/>
      <c r="K548" s="4"/>
    </row>
    <row r="549" spans="10:11" ht="15.75" customHeight="1">
      <c r="J549" s="4"/>
      <c r="K549" s="4"/>
    </row>
    <row r="550" spans="10:11" ht="15.75" customHeight="1">
      <c r="J550" s="4"/>
      <c r="K550" s="4"/>
    </row>
    <row r="551" spans="10:11" ht="15.75" customHeight="1">
      <c r="J551" s="4"/>
      <c r="K551" s="4"/>
    </row>
    <row r="552" spans="10:11" ht="15.75" customHeight="1">
      <c r="J552" s="4"/>
      <c r="K552" s="4"/>
    </row>
    <row r="553" spans="10:11" ht="15.75" customHeight="1">
      <c r="J553" s="4"/>
      <c r="K553" s="4"/>
    </row>
    <row r="554" spans="10:11" ht="15.75" customHeight="1">
      <c r="J554" s="4"/>
      <c r="K554" s="4"/>
    </row>
    <row r="555" spans="10:11" ht="15.75" customHeight="1">
      <c r="J555" s="4"/>
      <c r="K555" s="4"/>
    </row>
    <row r="556" spans="10:11" ht="15.75" customHeight="1">
      <c r="J556" s="4"/>
      <c r="K556" s="4"/>
    </row>
    <row r="557" spans="10:11" ht="15.75" customHeight="1">
      <c r="J557" s="4"/>
      <c r="K557" s="4"/>
    </row>
    <row r="558" spans="10:11" ht="15.75" customHeight="1">
      <c r="J558" s="4"/>
      <c r="K558" s="4"/>
    </row>
    <row r="559" spans="10:11" ht="15.75" customHeight="1">
      <c r="J559" s="4"/>
      <c r="K559" s="4"/>
    </row>
    <row r="560" spans="10:11" ht="15.75" customHeight="1">
      <c r="J560" s="4"/>
      <c r="K560" s="4"/>
    </row>
    <row r="561" spans="10:11" ht="15.75" customHeight="1">
      <c r="J561" s="4"/>
      <c r="K561" s="4"/>
    </row>
    <row r="562" spans="10:11" ht="15.75" customHeight="1">
      <c r="J562" s="4"/>
      <c r="K562" s="4"/>
    </row>
    <row r="563" spans="10:11" ht="15.75" customHeight="1">
      <c r="J563" s="4"/>
      <c r="K563" s="4"/>
    </row>
    <row r="564" spans="10:11" ht="15.75" customHeight="1">
      <c r="J564" s="4"/>
      <c r="K564" s="4"/>
    </row>
    <row r="565" spans="10:11" ht="15.75" customHeight="1">
      <c r="J565" s="4"/>
      <c r="K565" s="4"/>
    </row>
    <row r="566" spans="10:11" ht="15.75" customHeight="1">
      <c r="J566" s="4"/>
      <c r="K566" s="4"/>
    </row>
    <row r="567" spans="10:11" ht="15.75" customHeight="1">
      <c r="J567" s="4"/>
      <c r="K567" s="4"/>
    </row>
    <row r="568" spans="10:11" ht="15.75" customHeight="1">
      <c r="J568" s="4"/>
      <c r="K568" s="4"/>
    </row>
    <row r="569" spans="10:11" ht="15.75" customHeight="1">
      <c r="J569" s="4"/>
      <c r="K569" s="4"/>
    </row>
    <row r="570" spans="10:11" ht="15.75" customHeight="1">
      <c r="J570" s="4"/>
      <c r="K570" s="4"/>
    </row>
    <row r="571" spans="10:11" ht="15.75" customHeight="1">
      <c r="J571" s="4"/>
      <c r="K571" s="4"/>
    </row>
    <row r="572" spans="10:11" ht="15.75" customHeight="1">
      <c r="J572" s="4"/>
      <c r="K572" s="4"/>
    </row>
    <row r="573" spans="10:11" ht="15.75" customHeight="1">
      <c r="J573" s="4"/>
      <c r="K573" s="4"/>
    </row>
    <row r="574" spans="10:11" ht="15.75" customHeight="1">
      <c r="J574" s="4"/>
      <c r="K574" s="4"/>
    </row>
    <row r="575" spans="10:11" ht="15.75" customHeight="1">
      <c r="J575" s="4"/>
      <c r="K575" s="4"/>
    </row>
    <row r="576" spans="10:11" ht="15.75" customHeight="1">
      <c r="J576" s="4"/>
      <c r="K576" s="4"/>
    </row>
    <row r="577" spans="10:11" ht="15.75" customHeight="1">
      <c r="J577" s="4"/>
      <c r="K577" s="4"/>
    </row>
    <row r="578" spans="10:11" ht="15.75" customHeight="1">
      <c r="J578" s="4"/>
      <c r="K578" s="4"/>
    </row>
    <row r="579" spans="10:11" ht="15.75" customHeight="1">
      <c r="J579" s="4"/>
      <c r="K579" s="4"/>
    </row>
    <row r="580" spans="10:11" ht="15.75" customHeight="1">
      <c r="J580" s="4"/>
      <c r="K580" s="4"/>
    </row>
    <row r="581" spans="10:11" ht="15.75" customHeight="1">
      <c r="J581" s="4"/>
      <c r="K581" s="4"/>
    </row>
    <row r="582" spans="10:11" ht="15.75" customHeight="1">
      <c r="J582" s="4"/>
      <c r="K582" s="4"/>
    </row>
    <row r="583" spans="10:11" ht="15.75" customHeight="1">
      <c r="J583" s="4"/>
      <c r="K583" s="4"/>
    </row>
    <row r="584" spans="10:11" ht="15.75" customHeight="1">
      <c r="J584" s="4"/>
      <c r="K584" s="4"/>
    </row>
    <row r="585" spans="10:11" ht="15.75" customHeight="1">
      <c r="J585" s="4"/>
      <c r="K585" s="4"/>
    </row>
    <row r="586" spans="10:11" ht="15.75" customHeight="1">
      <c r="J586" s="4"/>
      <c r="K586" s="4"/>
    </row>
    <row r="587" spans="10:11" ht="15.75" customHeight="1">
      <c r="J587" s="4"/>
      <c r="K587" s="4"/>
    </row>
    <row r="588" spans="10:11" ht="15.75" customHeight="1">
      <c r="J588" s="4"/>
      <c r="K588" s="4"/>
    </row>
    <row r="589" spans="10:11" ht="15.75" customHeight="1">
      <c r="J589" s="4"/>
      <c r="K589" s="4"/>
    </row>
    <row r="590" spans="10:11" ht="15.75" customHeight="1">
      <c r="J590" s="4"/>
      <c r="K590" s="4"/>
    </row>
    <row r="591" spans="10:11" ht="15.75" customHeight="1">
      <c r="J591" s="4"/>
      <c r="K591" s="4"/>
    </row>
    <row r="592" spans="10:11" ht="15.75" customHeight="1">
      <c r="J592" s="4"/>
      <c r="K592" s="4"/>
    </row>
    <row r="593" spans="10:11" ht="15.75" customHeight="1">
      <c r="J593" s="4"/>
      <c r="K593" s="4"/>
    </row>
    <row r="594" spans="10:11" ht="15.75" customHeight="1">
      <c r="J594" s="4"/>
      <c r="K594" s="4"/>
    </row>
    <row r="595" spans="10:11" ht="15.75" customHeight="1">
      <c r="J595" s="4"/>
      <c r="K595" s="4"/>
    </row>
    <row r="596" spans="10:11" ht="15.75" customHeight="1">
      <c r="J596" s="4"/>
      <c r="K596" s="4"/>
    </row>
    <row r="597" spans="10:11" ht="15.75" customHeight="1">
      <c r="J597" s="4"/>
      <c r="K597" s="4"/>
    </row>
    <row r="598" spans="10:11" ht="15.75" customHeight="1">
      <c r="J598" s="4"/>
      <c r="K598" s="4"/>
    </row>
    <row r="599" spans="10:11" ht="15.75" customHeight="1">
      <c r="J599" s="4"/>
      <c r="K599" s="4"/>
    </row>
    <row r="600" spans="10:11" ht="15.75" customHeight="1">
      <c r="J600" s="4"/>
      <c r="K600" s="4"/>
    </row>
    <row r="601" spans="10:11" ht="15.75" customHeight="1">
      <c r="J601" s="4"/>
      <c r="K601" s="4"/>
    </row>
    <row r="602" spans="10:11" ht="15.75" customHeight="1">
      <c r="J602" s="4"/>
      <c r="K602" s="4"/>
    </row>
    <row r="603" spans="10:11" ht="15.75" customHeight="1">
      <c r="J603" s="4"/>
      <c r="K603" s="4"/>
    </row>
    <row r="604" spans="10:11" ht="15.75" customHeight="1">
      <c r="J604" s="4"/>
      <c r="K604" s="4"/>
    </row>
    <row r="605" spans="10:11" ht="15.75" customHeight="1">
      <c r="J605" s="4"/>
      <c r="K605" s="4"/>
    </row>
    <row r="606" spans="10:11" ht="15.75" customHeight="1">
      <c r="J606" s="4"/>
      <c r="K606" s="4"/>
    </row>
    <row r="607" spans="10:11" ht="15.75" customHeight="1">
      <c r="J607" s="4"/>
      <c r="K607" s="4"/>
    </row>
    <row r="608" spans="10:11" ht="15.75" customHeight="1">
      <c r="J608" s="4"/>
      <c r="K608" s="4"/>
    </row>
    <row r="609" spans="10:11" ht="15.75" customHeight="1">
      <c r="J609" s="4"/>
      <c r="K609" s="4"/>
    </row>
    <row r="610" spans="10:11" ht="15.75" customHeight="1">
      <c r="J610" s="4"/>
      <c r="K610" s="4"/>
    </row>
    <row r="611" spans="10:11" ht="15.75" customHeight="1">
      <c r="J611" s="4"/>
      <c r="K611" s="4"/>
    </row>
    <row r="612" spans="10:11" ht="15.75" customHeight="1">
      <c r="J612" s="4"/>
      <c r="K612" s="4"/>
    </row>
    <row r="613" spans="10:11" ht="15.75" customHeight="1">
      <c r="J613" s="4"/>
      <c r="K613" s="4"/>
    </row>
    <row r="614" spans="10:11" ht="15.75" customHeight="1">
      <c r="J614" s="4"/>
      <c r="K614" s="4"/>
    </row>
    <row r="615" spans="10:11" ht="15.75" customHeight="1">
      <c r="J615" s="4"/>
      <c r="K615" s="4"/>
    </row>
    <row r="616" spans="10:11" ht="15.75" customHeight="1">
      <c r="J616" s="4"/>
      <c r="K616" s="4"/>
    </row>
    <row r="617" spans="10:11" ht="15.75" customHeight="1">
      <c r="J617" s="4"/>
      <c r="K617" s="4"/>
    </row>
    <row r="618" spans="10:11" ht="15.75" customHeight="1">
      <c r="J618" s="4"/>
      <c r="K618" s="4"/>
    </row>
    <row r="619" spans="10:11" ht="15.75" customHeight="1">
      <c r="J619" s="4"/>
      <c r="K619" s="4"/>
    </row>
    <row r="620" spans="10:11" ht="15.75" customHeight="1">
      <c r="J620" s="4"/>
      <c r="K620" s="4"/>
    </row>
    <row r="621" spans="10:11" ht="15.75" customHeight="1">
      <c r="J621" s="4"/>
      <c r="K621" s="4"/>
    </row>
    <row r="622" spans="10:11" ht="15.75" customHeight="1">
      <c r="J622" s="4"/>
      <c r="K622" s="4"/>
    </row>
    <row r="623" spans="10:11" ht="15.75" customHeight="1">
      <c r="J623" s="4"/>
      <c r="K623" s="4"/>
    </row>
    <row r="624" spans="10:11" ht="15.75" customHeight="1">
      <c r="J624" s="4"/>
      <c r="K624" s="4"/>
    </row>
    <row r="625" spans="10:11" ht="15.75" customHeight="1">
      <c r="J625" s="4"/>
      <c r="K625" s="4"/>
    </row>
    <row r="626" spans="10:11" ht="15.75" customHeight="1">
      <c r="J626" s="4"/>
      <c r="K626" s="4"/>
    </row>
    <row r="627" spans="10:11" ht="15.75" customHeight="1">
      <c r="J627" s="4"/>
      <c r="K627" s="4"/>
    </row>
    <row r="628" spans="10:11" ht="15.75" customHeight="1">
      <c r="J628" s="4"/>
      <c r="K628" s="4"/>
    </row>
    <row r="629" spans="10:11" ht="15.75" customHeight="1">
      <c r="J629" s="4"/>
      <c r="K629" s="4"/>
    </row>
    <row r="630" spans="10:11" ht="15.75" customHeight="1">
      <c r="J630" s="4"/>
      <c r="K630" s="4"/>
    </row>
    <row r="631" spans="10:11" ht="15.75" customHeight="1">
      <c r="J631" s="4"/>
      <c r="K631" s="4"/>
    </row>
    <row r="632" spans="10:11" ht="15.75" customHeight="1">
      <c r="J632" s="4"/>
      <c r="K632" s="4"/>
    </row>
    <row r="633" spans="10:11" ht="15.75" customHeight="1">
      <c r="J633" s="4"/>
      <c r="K633" s="4"/>
    </row>
    <row r="634" spans="10:11" ht="15.75" customHeight="1">
      <c r="J634" s="4"/>
      <c r="K634" s="4"/>
    </row>
    <row r="635" spans="10:11" ht="15.75" customHeight="1">
      <c r="J635" s="4"/>
      <c r="K635" s="4"/>
    </row>
    <row r="636" spans="10:11" ht="15.75" customHeight="1">
      <c r="J636" s="4"/>
      <c r="K636" s="4"/>
    </row>
    <row r="637" spans="10:11" ht="15.75" customHeight="1">
      <c r="J637" s="4"/>
      <c r="K637" s="4"/>
    </row>
    <row r="638" spans="10:11" ht="15.75" customHeight="1">
      <c r="J638" s="4"/>
      <c r="K638" s="4"/>
    </row>
    <row r="639" spans="10:11" ht="15.75" customHeight="1">
      <c r="J639" s="4"/>
      <c r="K639" s="4"/>
    </row>
    <row r="640" spans="10:11" ht="15.75" customHeight="1">
      <c r="J640" s="4"/>
      <c r="K640" s="4"/>
    </row>
    <row r="641" spans="10:11" ht="15.75" customHeight="1">
      <c r="J641" s="4"/>
      <c r="K641" s="4"/>
    </row>
    <row r="642" spans="10:11" ht="15.75" customHeight="1">
      <c r="J642" s="4"/>
      <c r="K642" s="4"/>
    </row>
    <row r="643" spans="10:11" ht="15.75" customHeight="1">
      <c r="J643" s="4"/>
      <c r="K643" s="4"/>
    </row>
    <row r="644" spans="10:11" ht="15.75" customHeight="1">
      <c r="J644" s="4"/>
      <c r="K644" s="4"/>
    </row>
    <row r="645" spans="10:11" ht="15.75" customHeight="1">
      <c r="J645" s="4"/>
      <c r="K645" s="4"/>
    </row>
    <row r="646" spans="10:11" ht="15.75" customHeight="1">
      <c r="J646" s="4"/>
      <c r="K646" s="4"/>
    </row>
    <row r="647" spans="10:11" ht="15.75" customHeight="1">
      <c r="J647" s="4"/>
      <c r="K647" s="4"/>
    </row>
    <row r="648" spans="10:11" ht="15.75" customHeight="1">
      <c r="J648" s="4"/>
      <c r="K648" s="4"/>
    </row>
    <row r="649" spans="10:11" ht="15.75" customHeight="1">
      <c r="J649" s="4"/>
      <c r="K649" s="4"/>
    </row>
    <row r="650" spans="10:11" ht="15.75" customHeight="1">
      <c r="J650" s="4"/>
      <c r="K650" s="4"/>
    </row>
    <row r="651" spans="10:11" ht="15.75" customHeight="1">
      <c r="J651" s="4"/>
      <c r="K651" s="4"/>
    </row>
    <row r="652" spans="10:11" ht="15.75" customHeight="1">
      <c r="J652" s="4"/>
      <c r="K652" s="4"/>
    </row>
    <row r="653" spans="10:11" ht="15.75" customHeight="1">
      <c r="J653" s="4"/>
      <c r="K653" s="4"/>
    </row>
    <row r="654" spans="10:11" ht="15.75" customHeight="1">
      <c r="J654" s="4"/>
      <c r="K654" s="4"/>
    </row>
    <row r="655" spans="10:11" ht="15.75" customHeight="1">
      <c r="J655" s="4"/>
      <c r="K655" s="4"/>
    </row>
    <row r="656" spans="10:11" ht="15.75" customHeight="1">
      <c r="J656" s="4"/>
      <c r="K656" s="4"/>
    </row>
    <row r="657" spans="10:11" ht="15.75" customHeight="1">
      <c r="J657" s="4"/>
      <c r="K657" s="4"/>
    </row>
    <row r="658" spans="10:11" ht="15.75" customHeight="1">
      <c r="J658" s="4"/>
      <c r="K658" s="4"/>
    </row>
    <row r="659" spans="10:11" ht="15.75" customHeight="1">
      <c r="J659" s="4"/>
      <c r="K659" s="4"/>
    </row>
    <row r="660" spans="10:11" ht="15.75" customHeight="1">
      <c r="J660" s="4"/>
      <c r="K660" s="4"/>
    </row>
    <row r="661" spans="10:11" ht="15.75" customHeight="1">
      <c r="J661" s="4"/>
      <c r="K661" s="4"/>
    </row>
    <row r="662" spans="10:11" ht="15.75" customHeight="1">
      <c r="J662" s="4"/>
      <c r="K662" s="4"/>
    </row>
    <row r="663" spans="10:11" ht="15.75" customHeight="1">
      <c r="J663" s="4"/>
      <c r="K663" s="4"/>
    </row>
    <row r="664" spans="10:11" ht="15.75" customHeight="1">
      <c r="J664" s="4"/>
      <c r="K664" s="4"/>
    </row>
    <row r="665" spans="10:11" ht="15.75" customHeight="1">
      <c r="J665" s="4"/>
      <c r="K665" s="4"/>
    </row>
    <row r="666" spans="10:11" ht="15.75" customHeight="1">
      <c r="J666" s="4"/>
      <c r="K666" s="4"/>
    </row>
    <row r="667" spans="10:11" ht="15.75" customHeight="1">
      <c r="J667" s="4"/>
      <c r="K667" s="4"/>
    </row>
    <row r="668" spans="10:11" ht="15.75" customHeight="1">
      <c r="J668" s="4"/>
      <c r="K668" s="4"/>
    </row>
    <row r="669" spans="10:11" ht="15.75" customHeight="1">
      <c r="J669" s="4"/>
      <c r="K669" s="4"/>
    </row>
    <row r="670" spans="10:11" ht="15.75" customHeight="1">
      <c r="J670" s="4"/>
      <c r="K670" s="4"/>
    </row>
    <row r="671" spans="10:11" ht="15.75" customHeight="1">
      <c r="J671" s="4"/>
      <c r="K671" s="4"/>
    </row>
    <row r="672" spans="10:11" ht="15.75" customHeight="1">
      <c r="J672" s="4"/>
      <c r="K672" s="4"/>
    </row>
    <row r="673" spans="10:11" ht="15.75" customHeight="1">
      <c r="J673" s="4"/>
      <c r="K673" s="4"/>
    </row>
    <row r="674" spans="10:11" ht="15.75" customHeight="1">
      <c r="J674" s="4"/>
      <c r="K674" s="4"/>
    </row>
    <row r="675" spans="10:11" ht="15.75" customHeight="1">
      <c r="J675" s="4"/>
      <c r="K675" s="4"/>
    </row>
    <row r="676" spans="10:11" ht="15.75" customHeight="1">
      <c r="J676" s="4"/>
      <c r="K676" s="4"/>
    </row>
    <row r="677" spans="10:11" ht="15.75" customHeight="1">
      <c r="J677" s="4"/>
      <c r="K677" s="4"/>
    </row>
    <row r="678" spans="10:11" ht="15.75" customHeight="1">
      <c r="J678" s="4"/>
      <c r="K678" s="4"/>
    </row>
    <row r="679" spans="10:11" ht="15.75" customHeight="1">
      <c r="J679" s="4"/>
      <c r="K679" s="4"/>
    </row>
    <row r="680" spans="10:11" ht="15.75" customHeight="1">
      <c r="J680" s="4"/>
      <c r="K680" s="4"/>
    </row>
    <row r="681" spans="10:11" ht="15.75" customHeight="1">
      <c r="J681" s="4"/>
      <c r="K681" s="4"/>
    </row>
    <row r="682" spans="10:11" ht="15.75" customHeight="1">
      <c r="J682" s="4"/>
      <c r="K682" s="4"/>
    </row>
    <row r="683" spans="10:11" ht="15.75" customHeight="1">
      <c r="J683" s="4"/>
      <c r="K683" s="4"/>
    </row>
    <row r="684" spans="10:11" ht="15.75" customHeight="1">
      <c r="J684" s="4"/>
      <c r="K684" s="4"/>
    </row>
    <row r="685" spans="10:11" ht="15.75" customHeight="1">
      <c r="J685" s="4"/>
      <c r="K685" s="4"/>
    </row>
    <row r="686" spans="10:11" ht="15.75" customHeight="1">
      <c r="J686" s="4"/>
      <c r="K686" s="4"/>
    </row>
    <row r="687" spans="10:11" ht="15.75" customHeight="1">
      <c r="J687" s="4"/>
      <c r="K687" s="4"/>
    </row>
    <row r="688" spans="10:11" ht="15.75" customHeight="1">
      <c r="J688" s="4"/>
      <c r="K688" s="4"/>
    </row>
    <row r="689" spans="10:11" ht="15.75" customHeight="1">
      <c r="J689" s="4"/>
      <c r="K689" s="4"/>
    </row>
    <row r="690" spans="10:11" ht="15.75" customHeight="1">
      <c r="J690" s="4"/>
      <c r="K690" s="4"/>
    </row>
    <row r="691" spans="10:11" ht="15.75" customHeight="1">
      <c r="J691" s="4"/>
      <c r="K691" s="4"/>
    </row>
    <row r="692" spans="10:11" ht="15.75" customHeight="1">
      <c r="J692" s="4"/>
      <c r="K692" s="4"/>
    </row>
    <row r="693" spans="10:11" ht="15.75" customHeight="1">
      <c r="J693" s="4"/>
      <c r="K693" s="4"/>
    </row>
    <row r="694" spans="10:11" ht="15.75" customHeight="1">
      <c r="J694" s="4"/>
      <c r="K694" s="4"/>
    </row>
    <row r="695" spans="10:11" ht="15.75" customHeight="1">
      <c r="J695" s="4"/>
      <c r="K695" s="4"/>
    </row>
    <row r="696" spans="10:11" ht="15.75" customHeight="1">
      <c r="J696" s="4"/>
      <c r="K696" s="4"/>
    </row>
    <row r="697" spans="10:11" ht="15.75" customHeight="1">
      <c r="J697" s="4"/>
      <c r="K697" s="4"/>
    </row>
    <row r="698" spans="10:11" ht="15.75" customHeight="1">
      <c r="J698" s="4"/>
      <c r="K698" s="4"/>
    </row>
    <row r="699" spans="10:11" ht="15.75" customHeight="1">
      <c r="J699" s="4"/>
      <c r="K699" s="4"/>
    </row>
    <row r="700" spans="10:11" ht="15.75" customHeight="1">
      <c r="J700" s="4"/>
      <c r="K700" s="4"/>
    </row>
    <row r="701" spans="10:11" ht="15.75" customHeight="1">
      <c r="J701" s="4"/>
      <c r="K701" s="4"/>
    </row>
    <row r="702" spans="10:11" ht="15.75" customHeight="1">
      <c r="J702" s="4"/>
      <c r="K702" s="4"/>
    </row>
    <row r="703" spans="10:11" ht="15.75" customHeight="1">
      <c r="J703" s="4"/>
      <c r="K703" s="4"/>
    </row>
    <row r="704" spans="10:11" ht="15.75" customHeight="1">
      <c r="J704" s="4"/>
      <c r="K704" s="4"/>
    </row>
    <row r="705" spans="10:11" ht="15.75" customHeight="1">
      <c r="J705" s="4"/>
      <c r="K705" s="4"/>
    </row>
    <row r="706" spans="10:11" ht="15.75" customHeight="1">
      <c r="J706" s="4"/>
      <c r="K706" s="4"/>
    </row>
    <row r="707" spans="10:11" ht="15.75" customHeight="1">
      <c r="J707" s="4"/>
      <c r="K707" s="4"/>
    </row>
    <row r="708" spans="10:11" ht="15.75" customHeight="1">
      <c r="J708" s="4"/>
      <c r="K708" s="4"/>
    </row>
    <row r="709" spans="10:11" ht="15.75" customHeight="1">
      <c r="J709" s="4"/>
      <c r="K709" s="4"/>
    </row>
    <row r="710" spans="10:11" ht="15.75" customHeight="1">
      <c r="J710" s="4"/>
      <c r="K710" s="4"/>
    </row>
    <row r="711" spans="10:11" ht="15.75" customHeight="1">
      <c r="J711" s="4"/>
      <c r="K711" s="4"/>
    </row>
    <row r="712" spans="10:11" ht="15.75" customHeight="1">
      <c r="J712" s="4"/>
      <c r="K712" s="4"/>
    </row>
    <row r="713" spans="10:11" ht="15.75" customHeight="1">
      <c r="J713" s="4"/>
      <c r="K713" s="4"/>
    </row>
    <row r="714" spans="10:11" ht="15.75" customHeight="1">
      <c r="J714" s="4"/>
      <c r="K714" s="4"/>
    </row>
    <row r="715" spans="10:11" ht="15.75" customHeight="1">
      <c r="J715" s="4"/>
      <c r="K715" s="4"/>
    </row>
    <row r="716" spans="10:11" ht="15.75" customHeight="1">
      <c r="J716" s="4"/>
      <c r="K716" s="4"/>
    </row>
    <row r="717" spans="10:11" ht="15.75" customHeight="1">
      <c r="J717" s="4"/>
      <c r="K717" s="4"/>
    </row>
    <row r="718" spans="10:11" ht="15.75" customHeight="1">
      <c r="J718" s="4"/>
      <c r="K718" s="4"/>
    </row>
    <row r="719" spans="10:11" ht="15.75" customHeight="1">
      <c r="J719" s="4"/>
      <c r="K719" s="4"/>
    </row>
    <row r="720" spans="10:11" ht="15.75" customHeight="1">
      <c r="J720" s="4"/>
      <c r="K720" s="4"/>
    </row>
    <row r="721" spans="10:11" ht="15.75" customHeight="1">
      <c r="J721" s="4"/>
      <c r="K721" s="4"/>
    </row>
    <row r="722" spans="10:11" ht="15.75" customHeight="1">
      <c r="J722" s="4"/>
      <c r="K722" s="4"/>
    </row>
    <row r="723" spans="10:11" ht="15.75" customHeight="1">
      <c r="J723" s="4"/>
      <c r="K723" s="4"/>
    </row>
    <row r="724" spans="10:11" ht="15.75" customHeight="1">
      <c r="J724" s="4"/>
      <c r="K724" s="4"/>
    </row>
    <row r="725" spans="10:11" ht="15.75" customHeight="1">
      <c r="J725" s="4"/>
      <c r="K725" s="4"/>
    </row>
    <row r="726" spans="10:11" ht="15.75" customHeight="1">
      <c r="J726" s="4"/>
      <c r="K726" s="4"/>
    </row>
    <row r="727" spans="10:11" ht="15.75" customHeight="1">
      <c r="J727" s="4"/>
      <c r="K727" s="4"/>
    </row>
    <row r="728" spans="10:11" ht="15.75" customHeight="1">
      <c r="J728" s="4"/>
      <c r="K728" s="4"/>
    </row>
    <row r="729" spans="10:11" ht="15.75" customHeight="1">
      <c r="J729" s="4"/>
      <c r="K729" s="4"/>
    </row>
    <row r="730" spans="10:11" ht="15.75" customHeight="1">
      <c r="J730" s="4"/>
      <c r="K730" s="4"/>
    </row>
    <row r="731" spans="10:11" ht="15.75" customHeight="1">
      <c r="J731" s="4"/>
      <c r="K731" s="4"/>
    </row>
    <row r="732" spans="10:11" ht="15.75" customHeight="1">
      <c r="J732" s="4"/>
      <c r="K732" s="4"/>
    </row>
    <row r="733" spans="10:11" ht="15.75" customHeight="1">
      <c r="J733" s="4"/>
      <c r="K733" s="4"/>
    </row>
    <row r="734" spans="10:11" ht="15.75" customHeight="1">
      <c r="J734" s="4"/>
      <c r="K734" s="4"/>
    </row>
    <row r="735" spans="10:11" ht="15.75" customHeight="1">
      <c r="J735" s="4"/>
      <c r="K735" s="4"/>
    </row>
    <row r="736" spans="10:11" ht="15.75" customHeight="1">
      <c r="J736" s="4"/>
      <c r="K736" s="4"/>
    </row>
    <row r="737" spans="10:11" ht="15.75" customHeight="1">
      <c r="J737" s="4"/>
      <c r="K737" s="4"/>
    </row>
    <row r="738" spans="10:11" ht="15.75" customHeight="1">
      <c r="J738" s="4"/>
      <c r="K738" s="4"/>
    </row>
    <row r="739" spans="10:11" ht="15.75" customHeight="1">
      <c r="J739" s="4"/>
      <c r="K739" s="4"/>
    </row>
    <row r="740" spans="10:11" ht="15.75" customHeight="1">
      <c r="J740" s="4"/>
      <c r="K740" s="4"/>
    </row>
    <row r="741" spans="10:11" ht="15.75" customHeight="1">
      <c r="J741" s="4"/>
      <c r="K741" s="4"/>
    </row>
    <row r="742" spans="10:11" ht="15.75" customHeight="1">
      <c r="J742" s="4"/>
      <c r="K742" s="4"/>
    </row>
    <row r="743" spans="10:11" ht="15.75" customHeight="1">
      <c r="J743" s="4"/>
      <c r="K743" s="4"/>
    </row>
    <row r="744" spans="10:11" ht="15.75" customHeight="1">
      <c r="J744" s="4"/>
      <c r="K744" s="4"/>
    </row>
    <row r="745" spans="10:11" ht="15.75" customHeight="1">
      <c r="J745" s="4"/>
      <c r="K745" s="4"/>
    </row>
    <row r="746" spans="10:11" ht="15.75" customHeight="1">
      <c r="J746" s="4"/>
      <c r="K746" s="4"/>
    </row>
    <row r="747" spans="10:11" ht="15.75" customHeight="1">
      <c r="J747" s="4"/>
      <c r="K747" s="4"/>
    </row>
    <row r="748" spans="10:11" ht="15.75" customHeight="1">
      <c r="J748" s="4"/>
      <c r="K748" s="4"/>
    </row>
    <row r="749" spans="10:11" ht="15.75" customHeight="1">
      <c r="J749" s="4"/>
      <c r="K749" s="4"/>
    </row>
    <row r="750" spans="10:11" ht="15.75" customHeight="1">
      <c r="J750" s="4"/>
      <c r="K750" s="4"/>
    </row>
    <row r="751" spans="10:11" ht="15.75" customHeight="1">
      <c r="J751" s="4"/>
      <c r="K751" s="4"/>
    </row>
    <row r="752" spans="10:11" ht="15.75" customHeight="1">
      <c r="J752" s="4"/>
      <c r="K752" s="4"/>
    </row>
    <row r="753" spans="10:11" ht="15.75" customHeight="1">
      <c r="J753" s="4"/>
      <c r="K753" s="4"/>
    </row>
    <row r="754" spans="10:11" ht="15.75" customHeight="1">
      <c r="J754" s="4"/>
      <c r="K754" s="4"/>
    </row>
    <row r="755" spans="10:11" ht="15.75" customHeight="1">
      <c r="J755" s="4"/>
      <c r="K755" s="4"/>
    </row>
    <row r="756" spans="10:11" ht="15.75" customHeight="1">
      <c r="J756" s="4"/>
      <c r="K756" s="4"/>
    </row>
    <row r="757" spans="10:11" ht="15.75" customHeight="1">
      <c r="J757" s="4"/>
      <c r="K757" s="4"/>
    </row>
    <row r="758" spans="10:11" ht="15.75" customHeight="1">
      <c r="J758" s="4"/>
      <c r="K758" s="4"/>
    </row>
    <row r="759" spans="10:11" ht="15.75" customHeight="1">
      <c r="J759" s="4"/>
      <c r="K759" s="4"/>
    </row>
    <row r="760" spans="10:11" ht="15.75" customHeight="1">
      <c r="J760" s="4"/>
      <c r="K760" s="4"/>
    </row>
    <row r="761" spans="10:11" ht="15.75" customHeight="1">
      <c r="J761" s="4"/>
      <c r="K761" s="4"/>
    </row>
    <row r="762" spans="10:11" ht="15.75" customHeight="1">
      <c r="J762" s="4"/>
      <c r="K762" s="4"/>
    </row>
    <row r="763" spans="10:11" ht="15.75" customHeight="1">
      <c r="J763" s="4"/>
      <c r="K763" s="4"/>
    </row>
    <row r="764" spans="10:11" ht="15.75" customHeight="1">
      <c r="J764" s="4"/>
      <c r="K764" s="4"/>
    </row>
    <row r="765" spans="10:11" ht="15.75" customHeight="1">
      <c r="J765" s="4"/>
      <c r="K765" s="4"/>
    </row>
    <row r="766" spans="10:11" ht="15.75" customHeight="1">
      <c r="J766" s="4"/>
      <c r="K766" s="4"/>
    </row>
    <row r="767" spans="10:11" ht="15.75" customHeight="1">
      <c r="J767" s="4"/>
      <c r="K767" s="4"/>
    </row>
    <row r="768" spans="10:11" ht="15.75" customHeight="1">
      <c r="J768" s="4"/>
      <c r="K768" s="4"/>
    </row>
    <row r="769" spans="10:11" ht="15.75" customHeight="1">
      <c r="J769" s="4"/>
      <c r="K769" s="4"/>
    </row>
    <row r="770" spans="10:11" ht="15.75" customHeight="1">
      <c r="J770" s="4"/>
      <c r="K770" s="4"/>
    </row>
    <row r="771" spans="10:11" ht="15.75" customHeight="1">
      <c r="J771" s="4"/>
      <c r="K771" s="4"/>
    </row>
    <row r="772" spans="10:11" ht="15.75" customHeight="1">
      <c r="J772" s="4"/>
      <c r="K772" s="4"/>
    </row>
    <row r="773" spans="10:11" ht="15.75" customHeight="1">
      <c r="J773" s="4"/>
      <c r="K773" s="4"/>
    </row>
    <row r="774" spans="10:11" ht="15.75" customHeight="1">
      <c r="J774" s="4"/>
      <c r="K774" s="4"/>
    </row>
    <row r="775" spans="10:11" ht="15.75" customHeight="1">
      <c r="J775" s="4"/>
      <c r="K775" s="4"/>
    </row>
    <row r="776" spans="10:11" ht="15.75" customHeight="1">
      <c r="J776" s="4"/>
      <c r="K776" s="4"/>
    </row>
    <row r="777" spans="10:11" ht="15.75" customHeight="1">
      <c r="J777" s="4"/>
      <c r="K777" s="4"/>
    </row>
    <row r="778" spans="10:11" ht="15.75" customHeight="1">
      <c r="J778" s="4"/>
      <c r="K778" s="4"/>
    </row>
    <row r="779" spans="10:11" ht="15.75" customHeight="1">
      <c r="J779" s="4"/>
      <c r="K779" s="4"/>
    </row>
    <row r="780" spans="10:11" ht="15.75" customHeight="1">
      <c r="J780" s="4"/>
      <c r="K780" s="4"/>
    </row>
    <row r="781" spans="10:11" ht="15.75" customHeight="1">
      <c r="J781" s="4"/>
      <c r="K781" s="4"/>
    </row>
    <row r="782" spans="10:11" ht="15.75" customHeight="1">
      <c r="J782" s="4"/>
      <c r="K782" s="4"/>
    </row>
    <row r="783" spans="10:11" ht="15.75" customHeight="1">
      <c r="J783" s="4"/>
      <c r="K783" s="4"/>
    </row>
    <row r="784" spans="10:11" ht="15.75" customHeight="1">
      <c r="J784" s="4"/>
      <c r="K784" s="4"/>
    </row>
    <row r="785" spans="10:11" ht="15.75" customHeight="1">
      <c r="J785" s="4"/>
      <c r="K785" s="4"/>
    </row>
    <row r="786" spans="10:11" ht="15.75" customHeight="1">
      <c r="J786" s="4"/>
      <c r="K786" s="4"/>
    </row>
    <row r="787" spans="10:11" ht="15.75" customHeight="1">
      <c r="J787" s="4"/>
      <c r="K787" s="4"/>
    </row>
    <row r="788" spans="10:11" ht="15.75" customHeight="1">
      <c r="J788" s="4"/>
      <c r="K788" s="4"/>
    </row>
    <row r="789" spans="10:11" ht="15.75" customHeight="1">
      <c r="J789" s="4"/>
      <c r="K789" s="4"/>
    </row>
    <row r="790" spans="10:11" ht="15.75" customHeight="1">
      <c r="J790" s="4"/>
      <c r="K790" s="4"/>
    </row>
    <row r="791" spans="10:11" ht="15.75" customHeight="1">
      <c r="J791" s="4"/>
      <c r="K791" s="4"/>
    </row>
    <row r="792" spans="10:11" ht="15.75" customHeight="1">
      <c r="J792" s="4"/>
      <c r="K792" s="4"/>
    </row>
    <row r="793" spans="10:11" ht="15.75" customHeight="1">
      <c r="J793" s="4"/>
      <c r="K793" s="4"/>
    </row>
    <row r="794" spans="10:11" ht="15.75" customHeight="1">
      <c r="J794" s="4"/>
      <c r="K794" s="4"/>
    </row>
    <row r="795" spans="10:11" ht="15.75" customHeight="1">
      <c r="J795" s="4"/>
      <c r="K795" s="4"/>
    </row>
    <row r="796" spans="10:11" ht="15.75" customHeight="1">
      <c r="J796" s="4"/>
      <c r="K796" s="4"/>
    </row>
    <row r="797" spans="10:11" ht="15.75" customHeight="1">
      <c r="J797" s="4"/>
      <c r="K797" s="4"/>
    </row>
    <row r="798" spans="10:11" ht="15.75" customHeight="1">
      <c r="J798" s="4"/>
      <c r="K798" s="4"/>
    </row>
    <row r="799" spans="10:11" ht="15.75" customHeight="1">
      <c r="J799" s="4"/>
      <c r="K799" s="4"/>
    </row>
    <row r="800" spans="10:11" ht="15.75" customHeight="1">
      <c r="J800" s="4"/>
      <c r="K800" s="4"/>
    </row>
    <row r="801" spans="10:11" ht="15.75" customHeight="1">
      <c r="J801" s="4"/>
      <c r="K801" s="4"/>
    </row>
    <row r="802" spans="10:11" ht="15.75" customHeight="1">
      <c r="J802" s="4"/>
      <c r="K802" s="4"/>
    </row>
    <row r="803" spans="10:11" ht="15.75" customHeight="1">
      <c r="J803" s="4"/>
      <c r="K803" s="4"/>
    </row>
    <row r="804" spans="10:11" ht="15.75" customHeight="1">
      <c r="J804" s="4"/>
      <c r="K804" s="4"/>
    </row>
    <row r="805" spans="10:11" ht="15.75" customHeight="1">
      <c r="J805" s="4"/>
      <c r="K805" s="4"/>
    </row>
    <row r="806" spans="10:11" ht="15.75" customHeight="1">
      <c r="J806" s="4"/>
      <c r="K806" s="4"/>
    </row>
    <row r="807" spans="10:11" ht="15.75" customHeight="1">
      <c r="J807" s="4"/>
      <c r="K807" s="4"/>
    </row>
    <row r="808" spans="10:11" ht="15.75" customHeight="1">
      <c r="J808" s="4"/>
      <c r="K808" s="4"/>
    </row>
    <row r="809" spans="10:11" ht="15.75" customHeight="1">
      <c r="J809" s="4"/>
      <c r="K809" s="4"/>
    </row>
    <row r="810" spans="10:11" ht="15.75" customHeight="1">
      <c r="J810" s="4"/>
      <c r="K810" s="4"/>
    </row>
    <row r="811" spans="10:11" ht="15.75" customHeight="1">
      <c r="J811" s="4"/>
      <c r="K811" s="4"/>
    </row>
    <row r="812" spans="10:11" ht="15.75" customHeight="1">
      <c r="J812" s="4"/>
      <c r="K812" s="4"/>
    </row>
    <row r="813" spans="10:11" ht="15.75" customHeight="1">
      <c r="J813" s="4"/>
      <c r="K813" s="4"/>
    </row>
    <row r="814" spans="10:11" ht="15.75" customHeight="1">
      <c r="J814" s="4"/>
      <c r="K814" s="4"/>
    </row>
    <row r="815" spans="10:11" ht="15.75" customHeight="1">
      <c r="J815" s="4"/>
      <c r="K815" s="4"/>
    </row>
    <row r="816" spans="10:11" ht="15.75" customHeight="1">
      <c r="J816" s="4"/>
      <c r="K816" s="4"/>
    </row>
    <row r="817" spans="10:11" ht="15.75" customHeight="1">
      <c r="J817" s="4"/>
      <c r="K817" s="4"/>
    </row>
    <row r="818" spans="10:11" ht="15.75" customHeight="1">
      <c r="J818" s="4"/>
      <c r="K818" s="4"/>
    </row>
    <row r="819" spans="10:11" ht="15.75" customHeight="1">
      <c r="J819" s="4"/>
      <c r="K819" s="4"/>
    </row>
    <row r="820" spans="10:11" ht="15.75" customHeight="1">
      <c r="J820" s="4"/>
      <c r="K820" s="4"/>
    </row>
    <row r="821" spans="10:11" ht="15.75" customHeight="1">
      <c r="J821" s="4"/>
      <c r="K821" s="4"/>
    </row>
    <row r="822" spans="10:11" ht="15.75" customHeight="1">
      <c r="J822" s="4"/>
      <c r="K822" s="4"/>
    </row>
    <row r="823" spans="10:11" ht="15.75" customHeight="1">
      <c r="J823" s="4"/>
      <c r="K823" s="4"/>
    </row>
    <row r="824" spans="10:11" ht="15.75" customHeight="1">
      <c r="J824" s="4"/>
      <c r="K824" s="4"/>
    </row>
    <row r="825" spans="10:11" ht="15.75" customHeight="1">
      <c r="J825" s="4"/>
      <c r="K825" s="4"/>
    </row>
    <row r="826" spans="10:11" ht="15.75" customHeight="1">
      <c r="J826" s="4"/>
      <c r="K826" s="4"/>
    </row>
    <row r="827" spans="10:11" ht="15.75" customHeight="1">
      <c r="J827" s="4"/>
      <c r="K827" s="4"/>
    </row>
    <row r="828" spans="10:11" ht="15.75" customHeight="1">
      <c r="J828" s="4"/>
      <c r="K828" s="4"/>
    </row>
    <row r="829" spans="10:11" ht="15.75" customHeight="1">
      <c r="J829" s="4"/>
      <c r="K829" s="4"/>
    </row>
    <row r="830" spans="10:11" ht="15.75" customHeight="1">
      <c r="J830" s="4"/>
      <c r="K830" s="4"/>
    </row>
    <row r="831" spans="10:11" ht="15.75" customHeight="1">
      <c r="J831" s="4"/>
      <c r="K831" s="4"/>
    </row>
    <row r="832" spans="10:11" ht="15.75" customHeight="1">
      <c r="J832" s="4"/>
      <c r="K832" s="4"/>
    </row>
    <row r="833" spans="10:11" ht="15.75" customHeight="1">
      <c r="J833" s="4"/>
      <c r="K833" s="4"/>
    </row>
    <row r="834" spans="10:11" ht="15.75" customHeight="1">
      <c r="J834" s="4"/>
      <c r="K834" s="4"/>
    </row>
    <row r="835" spans="10:11" ht="15.75" customHeight="1">
      <c r="J835" s="4"/>
      <c r="K835" s="4"/>
    </row>
    <row r="836" spans="10:11" ht="15.75" customHeight="1">
      <c r="J836" s="4"/>
      <c r="K836" s="4"/>
    </row>
    <row r="837" spans="10:11" ht="15.75" customHeight="1">
      <c r="J837" s="4"/>
      <c r="K837" s="4"/>
    </row>
    <row r="838" spans="10:11" ht="15.75" customHeight="1">
      <c r="J838" s="4"/>
      <c r="K838" s="4"/>
    </row>
    <row r="839" spans="10:11" ht="15.75" customHeight="1">
      <c r="J839" s="4"/>
      <c r="K839" s="4"/>
    </row>
    <row r="840" spans="10:11" ht="15.75" customHeight="1">
      <c r="J840" s="4"/>
      <c r="K840" s="4"/>
    </row>
    <row r="841" spans="10:11" ht="15.75" customHeight="1">
      <c r="J841" s="4"/>
      <c r="K841" s="4"/>
    </row>
    <row r="842" spans="10:11" ht="15.75" customHeight="1">
      <c r="J842" s="4"/>
      <c r="K842" s="4"/>
    </row>
    <row r="843" spans="10:11" ht="15.75" customHeight="1">
      <c r="J843" s="4"/>
      <c r="K843" s="4"/>
    </row>
    <row r="844" spans="10:11" ht="15.75" customHeight="1">
      <c r="J844" s="4"/>
      <c r="K844" s="4"/>
    </row>
    <row r="845" spans="10:11" ht="15.75" customHeight="1">
      <c r="J845" s="4"/>
      <c r="K845" s="4"/>
    </row>
    <row r="846" spans="10:11" ht="15.75" customHeight="1">
      <c r="J846" s="4"/>
      <c r="K846" s="4"/>
    </row>
    <row r="847" spans="10:11" ht="15.75" customHeight="1">
      <c r="J847" s="4"/>
      <c r="K847" s="4"/>
    </row>
    <row r="848" spans="10:11" ht="15.75" customHeight="1">
      <c r="J848" s="4"/>
      <c r="K848" s="4"/>
    </row>
    <row r="849" spans="10:11" ht="15.75" customHeight="1">
      <c r="J849" s="4"/>
      <c r="K849" s="4"/>
    </row>
    <row r="850" spans="10:11" ht="15.75" customHeight="1">
      <c r="J850" s="4"/>
      <c r="K850" s="4"/>
    </row>
    <row r="851" spans="10:11" ht="15.75" customHeight="1">
      <c r="J851" s="4"/>
      <c r="K851" s="4"/>
    </row>
    <row r="852" spans="10:11" ht="15.75" customHeight="1">
      <c r="J852" s="4"/>
      <c r="K852" s="4"/>
    </row>
    <row r="853" spans="10:11" ht="15.75" customHeight="1">
      <c r="J853" s="4"/>
      <c r="K853" s="4"/>
    </row>
    <row r="854" spans="10:11" ht="15.75" customHeight="1">
      <c r="J854" s="4"/>
      <c r="K854" s="4"/>
    </row>
    <row r="855" spans="10:11" ht="15.75" customHeight="1">
      <c r="J855" s="4"/>
      <c r="K855" s="4"/>
    </row>
    <row r="856" spans="10:11" ht="15.75" customHeight="1">
      <c r="J856" s="4"/>
      <c r="K856" s="4"/>
    </row>
    <row r="857" spans="10:11" ht="15.75" customHeight="1">
      <c r="J857" s="4"/>
      <c r="K857" s="4"/>
    </row>
    <row r="858" spans="10:11" ht="15.75" customHeight="1">
      <c r="J858" s="4"/>
      <c r="K858" s="4"/>
    </row>
    <row r="859" spans="10:11" ht="15.75" customHeight="1">
      <c r="J859" s="4"/>
      <c r="K859" s="4"/>
    </row>
    <row r="860" spans="10:11" ht="15.75" customHeight="1">
      <c r="J860" s="4"/>
      <c r="K860" s="4"/>
    </row>
    <row r="861" spans="10:11" ht="15.75" customHeight="1">
      <c r="J861" s="4"/>
      <c r="K861" s="4"/>
    </row>
    <row r="862" spans="10:11" ht="15.75" customHeight="1">
      <c r="J862" s="4"/>
      <c r="K862" s="4"/>
    </row>
    <row r="863" spans="10:11" ht="15.75" customHeight="1">
      <c r="J863" s="4"/>
      <c r="K863" s="4"/>
    </row>
    <row r="864" spans="10:11" ht="15.75" customHeight="1">
      <c r="J864" s="4"/>
      <c r="K864" s="4"/>
    </row>
    <row r="865" spans="10:11" ht="15.75" customHeight="1">
      <c r="J865" s="4"/>
      <c r="K865" s="4"/>
    </row>
    <row r="866" spans="10:11" ht="15.75" customHeight="1">
      <c r="J866" s="4"/>
      <c r="K866" s="4"/>
    </row>
    <row r="867" spans="10:11" ht="15.75" customHeight="1">
      <c r="J867" s="4"/>
      <c r="K867" s="4"/>
    </row>
    <row r="868" spans="10:11" ht="15.75" customHeight="1">
      <c r="J868" s="4"/>
      <c r="K868" s="4"/>
    </row>
    <row r="869" spans="10:11" ht="15.75" customHeight="1">
      <c r="J869" s="4"/>
      <c r="K869" s="4"/>
    </row>
    <row r="870" spans="10:11" ht="15.75" customHeight="1">
      <c r="J870" s="4"/>
      <c r="K870" s="4"/>
    </row>
    <row r="871" spans="10:11" ht="15.75" customHeight="1">
      <c r="J871" s="4"/>
      <c r="K871" s="4"/>
    </row>
    <row r="872" spans="10:11" ht="15.75" customHeight="1">
      <c r="J872" s="4"/>
      <c r="K872" s="4"/>
    </row>
    <row r="873" spans="10:11" ht="15.75" customHeight="1">
      <c r="J873" s="4"/>
      <c r="K873" s="4"/>
    </row>
    <row r="874" spans="10:11" ht="15.75" customHeight="1">
      <c r="J874" s="4"/>
      <c r="K874" s="4"/>
    </row>
    <row r="875" spans="10:11" ht="15.75" customHeight="1">
      <c r="J875" s="4"/>
      <c r="K875" s="4"/>
    </row>
    <row r="876" spans="10:11" ht="15.75" customHeight="1">
      <c r="J876" s="4"/>
      <c r="K876" s="4"/>
    </row>
    <row r="877" spans="10:11" ht="15.75" customHeight="1">
      <c r="J877" s="4"/>
      <c r="K877" s="4"/>
    </row>
    <row r="878" spans="10:11" ht="15.75" customHeight="1">
      <c r="J878" s="4"/>
      <c r="K878" s="4"/>
    </row>
    <row r="879" spans="10:11" ht="15.75" customHeight="1">
      <c r="J879" s="4"/>
      <c r="K879" s="4"/>
    </row>
    <row r="880" spans="10:11" ht="15.75" customHeight="1">
      <c r="J880" s="4"/>
      <c r="K880" s="4"/>
    </row>
    <row r="881" spans="10:11" ht="15.75" customHeight="1">
      <c r="J881" s="4"/>
      <c r="K881" s="4"/>
    </row>
    <row r="882" spans="10:11" ht="15.75" customHeight="1">
      <c r="J882" s="4"/>
      <c r="K882" s="4"/>
    </row>
    <row r="883" spans="10:11" ht="15.75" customHeight="1">
      <c r="J883" s="4"/>
      <c r="K883" s="4"/>
    </row>
    <row r="884" spans="10:11" ht="15.75" customHeight="1">
      <c r="J884" s="4"/>
      <c r="K884" s="4"/>
    </row>
    <row r="885" spans="10:11" ht="15.75" customHeight="1">
      <c r="J885" s="4"/>
      <c r="K885" s="4"/>
    </row>
    <row r="886" spans="10:11" ht="15.75" customHeight="1">
      <c r="J886" s="4"/>
      <c r="K886" s="4"/>
    </row>
    <row r="887" spans="10:11" ht="15.75" customHeight="1">
      <c r="J887" s="4"/>
      <c r="K887" s="4"/>
    </row>
    <row r="888" spans="10:11" ht="15.75" customHeight="1">
      <c r="J888" s="4"/>
      <c r="K888" s="4"/>
    </row>
    <row r="889" spans="10:11" ht="15.75" customHeight="1">
      <c r="J889" s="4"/>
      <c r="K889" s="4"/>
    </row>
    <row r="890" spans="10:11" ht="15.75" customHeight="1">
      <c r="J890" s="4"/>
      <c r="K890" s="4"/>
    </row>
    <row r="891" spans="10:11" ht="15.75" customHeight="1">
      <c r="J891" s="4"/>
      <c r="K891" s="4"/>
    </row>
    <row r="892" spans="10:11" ht="15.75" customHeight="1">
      <c r="J892" s="4"/>
      <c r="K892" s="4"/>
    </row>
    <row r="893" spans="10:11" ht="15.75" customHeight="1">
      <c r="J893" s="4"/>
      <c r="K893" s="4"/>
    </row>
    <row r="894" spans="10:11" ht="15.75" customHeight="1">
      <c r="J894" s="4"/>
      <c r="K894" s="4"/>
    </row>
    <row r="895" spans="10:11" ht="15.75" customHeight="1">
      <c r="J895" s="4"/>
      <c r="K895" s="4"/>
    </row>
    <row r="896" spans="10:11" ht="15.75" customHeight="1">
      <c r="J896" s="4"/>
      <c r="K896" s="4"/>
    </row>
    <row r="897" spans="10:11" ht="15.75" customHeight="1">
      <c r="J897" s="4"/>
      <c r="K897" s="4"/>
    </row>
    <row r="898" spans="10:11" ht="15.75" customHeight="1">
      <c r="J898" s="4"/>
      <c r="K898" s="4"/>
    </row>
    <row r="899" spans="10:11" ht="15.75" customHeight="1">
      <c r="J899" s="4"/>
      <c r="K899" s="4"/>
    </row>
    <row r="900" spans="10:11" ht="15.75" customHeight="1">
      <c r="J900" s="4"/>
      <c r="K900" s="4"/>
    </row>
    <row r="901" spans="10:11" ht="15.75" customHeight="1">
      <c r="J901" s="4"/>
      <c r="K901" s="4"/>
    </row>
    <row r="902" spans="10:11" ht="15.75" customHeight="1">
      <c r="J902" s="4"/>
      <c r="K902" s="4"/>
    </row>
    <row r="903" spans="10:11" ht="15.75" customHeight="1">
      <c r="J903" s="4"/>
      <c r="K903" s="4"/>
    </row>
    <row r="904" spans="10:11" ht="15.75" customHeight="1">
      <c r="J904" s="4"/>
      <c r="K904" s="4"/>
    </row>
    <row r="905" spans="10:11" ht="15.75" customHeight="1">
      <c r="J905" s="4"/>
      <c r="K905" s="4"/>
    </row>
    <row r="906" spans="10:11" ht="15.75" customHeight="1">
      <c r="J906" s="4"/>
      <c r="K906" s="4"/>
    </row>
    <row r="907" spans="10:11" ht="15.75" customHeight="1">
      <c r="J907" s="4"/>
      <c r="K907" s="4"/>
    </row>
    <row r="908" spans="10:11" ht="15.75" customHeight="1">
      <c r="J908" s="4"/>
      <c r="K908" s="4"/>
    </row>
    <row r="909" spans="10:11" ht="15.75" customHeight="1">
      <c r="J909" s="4"/>
      <c r="K909" s="4"/>
    </row>
    <row r="910" spans="10:11" ht="15.75" customHeight="1">
      <c r="J910" s="4"/>
      <c r="K910" s="4"/>
    </row>
    <row r="911" spans="10:11" ht="15.75" customHeight="1">
      <c r="J911" s="4"/>
      <c r="K911" s="4"/>
    </row>
    <row r="912" spans="10:11" ht="15.75" customHeight="1">
      <c r="J912" s="4"/>
      <c r="K912" s="4"/>
    </row>
    <row r="913" spans="10:11" ht="15.75" customHeight="1">
      <c r="J913" s="4"/>
      <c r="K913" s="4"/>
    </row>
    <row r="914" spans="10:11" ht="15.75" customHeight="1">
      <c r="J914" s="4"/>
      <c r="K914" s="4"/>
    </row>
    <row r="915" spans="10:11" ht="15.75" customHeight="1">
      <c r="J915" s="4"/>
      <c r="K915" s="4"/>
    </row>
    <row r="916" spans="10:11" ht="15.75" customHeight="1">
      <c r="J916" s="4"/>
      <c r="K916" s="4"/>
    </row>
    <row r="917" spans="10:11" ht="15.75" customHeight="1">
      <c r="J917" s="4"/>
      <c r="K917" s="4"/>
    </row>
    <row r="918" spans="10:11" ht="15.75" customHeight="1">
      <c r="J918" s="4"/>
      <c r="K918" s="4"/>
    </row>
    <row r="919" spans="10:11" ht="15.75" customHeight="1">
      <c r="J919" s="4"/>
      <c r="K919" s="4"/>
    </row>
    <row r="920" spans="10:11" ht="15.75" customHeight="1">
      <c r="J920" s="4"/>
      <c r="K920" s="4"/>
    </row>
    <row r="921" spans="10:11" ht="15.75" customHeight="1">
      <c r="J921" s="4"/>
      <c r="K921" s="4"/>
    </row>
    <row r="922" spans="10:11" ht="15.75" customHeight="1">
      <c r="J922" s="4"/>
      <c r="K922" s="4"/>
    </row>
    <row r="923" spans="10:11" ht="15.75" customHeight="1">
      <c r="J923" s="4"/>
      <c r="K923" s="4"/>
    </row>
    <row r="924" spans="10:11" ht="15.75" customHeight="1">
      <c r="J924" s="4"/>
      <c r="K924" s="4"/>
    </row>
    <row r="925" spans="10:11" ht="15.75" customHeight="1">
      <c r="J925" s="4"/>
      <c r="K925" s="4"/>
    </row>
    <row r="926" spans="10:11" ht="15.75" customHeight="1">
      <c r="J926" s="4"/>
      <c r="K926" s="4"/>
    </row>
    <row r="927" spans="10:11" ht="15.75" customHeight="1">
      <c r="J927" s="4"/>
      <c r="K927" s="4"/>
    </row>
    <row r="928" spans="10:11" ht="15.75" customHeight="1">
      <c r="J928" s="4"/>
      <c r="K928" s="4"/>
    </row>
    <row r="929" spans="10:11" ht="15.75" customHeight="1">
      <c r="J929" s="4"/>
      <c r="K929" s="4"/>
    </row>
    <row r="930" spans="10:11" ht="15.75" customHeight="1">
      <c r="J930" s="4"/>
      <c r="K930" s="4"/>
    </row>
    <row r="931" spans="10:11" ht="15.75" customHeight="1">
      <c r="J931" s="4"/>
      <c r="K931" s="4"/>
    </row>
    <row r="932" spans="10:11" ht="15.75" customHeight="1">
      <c r="J932" s="4"/>
      <c r="K932" s="4"/>
    </row>
    <row r="933" spans="10:11" ht="15.75" customHeight="1">
      <c r="J933" s="4"/>
      <c r="K933" s="4"/>
    </row>
    <row r="934" spans="10:11" ht="15.75" customHeight="1">
      <c r="J934" s="4"/>
      <c r="K934" s="4"/>
    </row>
    <row r="935" spans="10:11" ht="15.75" customHeight="1">
      <c r="J935" s="4"/>
      <c r="K935" s="4"/>
    </row>
    <row r="936" spans="10:11" ht="15.75" customHeight="1">
      <c r="J936" s="4"/>
      <c r="K936" s="4"/>
    </row>
    <row r="937" spans="10:11" ht="15.75" customHeight="1">
      <c r="J937" s="4"/>
      <c r="K937" s="4"/>
    </row>
    <row r="938" spans="10:11" ht="15.75" customHeight="1">
      <c r="J938" s="4"/>
      <c r="K938" s="4"/>
    </row>
    <row r="939" spans="10:11" ht="15.75" customHeight="1">
      <c r="J939" s="4"/>
      <c r="K939" s="4"/>
    </row>
    <row r="940" spans="10:11" ht="15.75" customHeight="1">
      <c r="J940" s="4"/>
      <c r="K940" s="4"/>
    </row>
    <row r="941" spans="10:11" ht="15.75" customHeight="1">
      <c r="J941" s="4"/>
      <c r="K941" s="4"/>
    </row>
    <row r="942" spans="10:11" ht="15.75" customHeight="1">
      <c r="J942" s="4"/>
      <c r="K942" s="4"/>
    </row>
    <row r="943" spans="10:11" ht="15.75" customHeight="1">
      <c r="J943" s="4"/>
      <c r="K943" s="4"/>
    </row>
    <row r="944" spans="10:11" ht="15.75" customHeight="1">
      <c r="J944" s="4"/>
      <c r="K944" s="4"/>
    </row>
    <row r="945" spans="10:11" ht="15.75" customHeight="1">
      <c r="J945" s="4"/>
      <c r="K945" s="4"/>
    </row>
    <row r="946" spans="10:11" ht="15.75" customHeight="1">
      <c r="J946" s="4"/>
      <c r="K946" s="4"/>
    </row>
    <row r="947" spans="10:11" ht="15.75" customHeight="1">
      <c r="J947" s="4"/>
      <c r="K947" s="4"/>
    </row>
    <row r="948" spans="10:11" ht="15.75" customHeight="1">
      <c r="J948" s="4"/>
      <c r="K948" s="4"/>
    </row>
    <row r="949" spans="10:11" ht="15.75" customHeight="1">
      <c r="J949" s="4"/>
      <c r="K949" s="4"/>
    </row>
    <row r="950" spans="10:11" ht="15.75" customHeight="1">
      <c r="J950" s="4"/>
      <c r="K950" s="4"/>
    </row>
    <row r="951" spans="10:11" ht="15.75" customHeight="1">
      <c r="J951" s="4"/>
      <c r="K951" s="4"/>
    </row>
    <row r="952" spans="10:11" ht="15.75" customHeight="1">
      <c r="J952" s="4"/>
      <c r="K952" s="4"/>
    </row>
    <row r="953" spans="10:11" ht="15.75" customHeight="1">
      <c r="J953" s="4"/>
      <c r="K953" s="4"/>
    </row>
    <row r="954" spans="10:11" ht="15.75" customHeight="1">
      <c r="J954" s="4"/>
      <c r="K954" s="4"/>
    </row>
    <row r="955" spans="10:11" ht="15.75" customHeight="1">
      <c r="J955" s="4"/>
      <c r="K955" s="4"/>
    </row>
    <row r="956" spans="10:11" ht="15.75" customHeight="1">
      <c r="J956" s="4"/>
      <c r="K956" s="4"/>
    </row>
    <row r="957" spans="10:11" ht="15.75" customHeight="1">
      <c r="J957" s="4"/>
      <c r="K957" s="4"/>
    </row>
    <row r="958" spans="10:11" ht="15.75" customHeight="1">
      <c r="J958" s="4"/>
      <c r="K958" s="4"/>
    </row>
    <row r="959" spans="10:11" ht="15.75" customHeight="1">
      <c r="J959" s="4"/>
      <c r="K959" s="4"/>
    </row>
    <row r="960" spans="10:11" ht="15.75" customHeight="1">
      <c r="J960" s="4"/>
      <c r="K960" s="4"/>
    </row>
    <row r="961" spans="10:11" ht="15.75" customHeight="1">
      <c r="J961" s="4"/>
      <c r="K961" s="4"/>
    </row>
    <row r="962" spans="10:11" ht="15.75" customHeight="1">
      <c r="J962" s="4"/>
      <c r="K962" s="4"/>
    </row>
    <row r="963" spans="10:11" ht="15.75" customHeight="1">
      <c r="J963" s="4"/>
      <c r="K963" s="4"/>
    </row>
    <row r="964" spans="10:11" ht="15.75" customHeight="1">
      <c r="J964" s="4"/>
      <c r="K964" s="4"/>
    </row>
    <row r="965" spans="10:11" ht="15.75" customHeight="1">
      <c r="J965" s="4"/>
      <c r="K965" s="4"/>
    </row>
    <row r="966" spans="10:11" ht="15.75" customHeight="1">
      <c r="J966" s="4"/>
      <c r="K966" s="4"/>
    </row>
    <row r="967" spans="10:11" ht="15.75" customHeight="1">
      <c r="J967" s="4"/>
      <c r="K967" s="4"/>
    </row>
    <row r="968" spans="10:11" ht="15.75" customHeight="1">
      <c r="J968" s="4"/>
      <c r="K968" s="4"/>
    </row>
    <row r="969" spans="10:11" ht="15.75" customHeight="1">
      <c r="J969" s="4"/>
      <c r="K969" s="4"/>
    </row>
    <row r="970" spans="10:11" ht="15.75" customHeight="1">
      <c r="J970" s="4"/>
      <c r="K970" s="4"/>
    </row>
    <row r="971" spans="10:11" ht="15.75" customHeight="1">
      <c r="J971" s="4"/>
      <c r="K971" s="4"/>
    </row>
    <row r="972" spans="10:11" ht="15.75" customHeight="1">
      <c r="J972" s="4"/>
      <c r="K972" s="4"/>
    </row>
    <row r="973" spans="10:11" ht="15.75" customHeight="1">
      <c r="J973" s="4"/>
      <c r="K973" s="4"/>
    </row>
    <row r="974" spans="10:11" ht="15.75" customHeight="1">
      <c r="J974" s="4"/>
      <c r="K974" s="4"/>
    </row>
    <row r="975" spans="10:11" ht="15.75" customHeight="1">
      <c r="J975" s="4"/>
      <c r="K975" s="4"/>
    </row>
    <row r="976" spans="10:11" ht="15.75" customHeight="1">
      <c r="J976" s="4"/>
      <c r="K976" s="4"/>
    </row>
    <row r="977" spans="10:11" ht="15.75" customHeight="1">
      <c r="J977" s="4"/>
      <c r="K977" s="4"/>
    </row>
    <row r="978" spans="10:11" ht="15.75" customHeight="1">
      <c r="J978" s="4"/>
      <c r="K978" s="4"/>
    </row>
    <row r="979" spans="10:11" ht="15.75" customHeight="1">
      <c r="J979" s="4"/>
      <c r="K979" s="4"/>
    </row>
    <row r="980" spans="10:11" ht="15.75" customHeight="1">
      <c r="J980" s="4"/>
      <c r="K980" s="4"/>
    </row>
    <row r="981" spans="10:11" ht="15.75" customHeight="1">
      <c r="J981" s="4"/>
      <c r="K981" s="4"/>
    </row>
    <row r="982" spans="10:11" ht="15.75" customHeight="1">
      <c r="J982" s="4"/>
      <c r="K982" s="4"/>
    </row>
    <row r="983" spans="10:11" ht="15.75" customHeight="1">
      <c r="J983" s="4"/>
      <c r="K983" s="4"/>
    </row>
    <row r="984" spans="10:11" ht="15.75" customHeight="1">
      <c r="J984" s="4"/>
      <c r="K984" s="4"/>
    </row>
    <row r="985" spans="10:11" ht="15.75" customHeight="1">
      <c r="J985" s="4"/>
      <c r="K985" s="4"/>
    </row>
    <row r="986" spans="10:11" ht="15.75" customHeight="1">
      <c r="J986" s="4"/>
      <c r="K986" s="4"/>
    </row>
    <row r="987" spans="10:11" ht="15.75" customHeight="1">
      <c r="J987" s="4"/>
      <c r="K987" s="4"/>
    </row>
    <row r="988" spans="10:11" ht="15.75" customHeight="1">
      <c r="J988" s="4"/>
      <c r="K988" s="4"/>
    </row>
    <row r="989" spans="10:11" ht="15.75" customHeight="1">
      <c r="J989" s="4"/>
      <c r="K989" s="4"/>
    </row>
    <row r="990" spans="10:11" ht="15.75" customHeight="1">
      <c r="J990" s="4"/>
      <c r="K990" s="4"/>
    </row>
    <row r="991" spans="10:11" ht="15.75" customHeight="1">
      <c r="J991" s="4"/>
      <c r="K991" s="4"/>
    </row>
    <row r="992" spans="10:11" ht="15.75" customHeight="1">
      <c r="J992" s="4"/>
      <c r="K992" s="4"/>
    </row>
    <row r="993" spans="10:11" ht="15.75" customHeight="1">
      <c r="J993" s="4"/>
      <c r="K993" s="4"/>
    </row>
    <row r="994" spans="10:11" ht="15.75" customHeight="1">
      <c r="J994" s="4"/>
      <c r="K994" s="4"/>
    </row>
    <row r="995" spans="10:11" ht="15.75" customHeight="1">
      <c r="J995" s="4"/>
      <c r="K995" s="4"/>
    </row>
    <row r="996" spans="10:11" ht="15.75" customHeight="1">
      <c r="J996" s="4"/>
      <c r="K996" s="4"/>
    </row>
    <row r="997" spans="10:11" ht="15.75" customHeight="1">
      <c r="J997" s="4"/>
      <c r="K997" s="4"/>
    </row>
    <row r="998" spans="10:11" ht="15.75" customHeight="1">
      <c r="J998" s="4"/>
      <c r="K998" s="4"/>
    </row>
    <row r="999" spans="10:11" ht="15.75" customHeight="1">
      <c r="J999" s="4"/>
      <c r="K999" s="4"/>
    </row>
    <row r="1000" spans="10:11" ht="15.75" customHeight="1">
      <c r="J1000" s="4"/>
      <c r="K1000" s="4"/>
    </row>
    <row r="1001" spans="10:11" ht="15.75" customHeight="1">
      <c r="J1001" s="4"/>
      <c r="K1001" s="4"/>
    </row>
    <row r="1002" spans="10:11" ht="15.75" customHeight="1">
      <c r="J1002" s="4"/>
      <c r="K1002" s="4"/>
    </row>
    <row r="1003" spans="10:11" ht="15.75" customHeight="1">
      <c r="J1003" s="4"/>
      <c r="K1003" s="4"/>
    </row>
    <row r="1004" spans="10:11" ht="15.75" customHeight="1">
      <c r="J1004" s="4"/>
      <c r="K1004" s="4"/>
    </row>
    <row r="1005" spans="10:11" ht="15.75" customHeight="1">
      <c r="J1005" s="4"/>
      <c r="K1005" s="4"/>
    </row>
    <row r="1006" spans="10:11" ht="15.75" customHeight="1">
      <c r="J1006" s="4"/>
      <c r="K1006" s="4"/>
    </row>
    <row r="1007" spans="10:11" ht="15.75" customHeight="1">
      <c r="J1007" s="4"/>
      <c r="K1007" s="4"/>
    </row>
    <row r="1008" spans="10:11" ht="15.75" customHeight="1">
      <c r="J1008" s="4"/>
      <c r="K1008" s="4"/>
    </row>
    <row r="1009" spans="10:11" ht="15.75" customHeight="1">
      <c r="J1009" s="4"/>
      <c r="K1009" s="4"/>
    </row>
    <row r="1010" spans="10:11" ht="15.75" customHeight="1">
      <c r="J1010" s="4"/>
      <c r="K1010" s="4"/>
    </row>
    <row r="1011" spans="10:11" ht="15.75" customHeight="1">
      <c r="J1011" s="4"/>
      <c r="K1011" s="4"/>
    </row>
    <row r="1012" spans="10:11" ht="15.75" customHeight="1">
      <c r="J1012" s="4"/>
      <c r="K1012" s="4"/>
    </row>
    <row r="1013" spans="10:11" ht="15.75" customHeight="1">
      <c r="J1013" s="4"/>
      <c r="K1013" s="4"/>
    </row>
    <row r="1014" spans="10:11" ht="15.75" customHeight="1">
      <c r="J1014" s="4"/>
      <c r="K1014" s="4"/>
    </row>
    <row r="1015" spans="10:11" ht="15.75" customHeight="1">
      <c r="J1015" s="4"/>
      <c r="K1015" s="4"/>
    </row>
    <row r="1016" spans="10:11" ht="15.75" customHeight="1">
      <c r="J1016" s="4"/>
      <c r="K1016" s="4"/>
    </row>
    <row r="1017" spans="10:11" ht="15.75" customHeight="1">
      <c r="J1017" s="4"/>
      <c r="K1017" s="4"/>
    </row>
    <row r="1018" spans="10:11" ht="15.75" customHeight="1">
      <c r="J1018" s="4"/>
      <c r="K1018" s="4"/>
    </row>
    <row r="1019" spans="10:11" ht="15.75" customHeight="1">
      <c r="J1019" s="4"/>
      <c r="K1019" s="4"/>
    </row>
    <row r="1020" spans="10:11" ht="15.75" customHeight="1">
      <c r="J1020" s="4"/>
      <c r="K1020" s="4"/>
    </row>
    <row r="1021" spans="10:11" ht="15.75" customHeight="1">
      <c r="J1021" s="4"/>
      <c r="K1021" s="4"/>
    </row>
    <row r="1022" spans="10:11" ht="15.75" customHeight="1">
      <c r="J1022" s="4"/>
      <c r="K1022" s="4"/>
    </row>
    <row r="1023" spans="10:11" ht="15.75" customHeight="1">
      <c r="J1023" s="4"/>
      <c r="K1023" s="4"/>
    </row>
    <row r="1024" spans="10:11" ht="15.75" customHeight="1">
      <c r="J1024" s="4"/>
      <c r="K1024" s="4"/>
    </row>
    <row r="1025" spans="10:11" ht="15.75" customHeight="1">
      <c r="J1025" s="4"/>
      <c r="K1025" s="4"/>
    </row>
    <row r="1026" spans="10:11" ht="15.75" customHeight="1">
      <c r="J1026" s="4"/>
      <c r="K1026" s="4"/>
    </row>
    <row r="1027" spans="10:11" ht="15.75" customHeight="1">
      <c r="J1027" s="4"/>
      <c r="K1027" s="4"/>
    </row>
    <row r="1028" spans="10:11" ht="15.75" customHeight="1">
      <c r="J1028" s="4"/>
      <c r="K1028" s="4"/>
    </row>
    <row r="1029" spans="10:11" ht="15.75" customHeight="1">
      <c r="J1029" s="4"/>
      <c r="K1029" s="4"/>
    </row>
    <row r="1030" spans="10:11" ht="15.75" customHeight="1">
      <c r="J1030" s="4"/>
      <c r="K1030" s="4"/>
    </row>
    <row r="1031" spans="10:11" ht="15.75" customHeight="1">
      <c r="J1031" s="4"/>
      <c r="K1031" s="4"/>
    </row>
    <row r="1032" spans="10:11" ht="15.75" customHeight="1">
      <c r="J1032" s="4"/>
      <c r="K1032" s="4"/>
    </row>
    <row r="1033" spans="10:11" ht="15.75" customHeight="1">
      <c r="J1033" s="4"/>
      <c r="K1033" s="4"/>
    </row>
    <row r="1034" spans="10:11" ht="15.75" customHeight="1">
      <c r="J1034" s="4"/>
      <c r="K1034" s="4"/>
    </row>
    <row r="1035" spans="10:11" ht="15.75" customHeight="1">
      <c r="J1035" s="4"/>
      <c r="K1035" s="4"/>
    </row>
    <row r="1036" spans="10:11" ht="15.75" customHeight="1">
      <c r="J1036" s="4"/>
      <c r="K1036" s="4"/>
    </row>
    <row r="1037" spans="10:11" ht="15.75" customHeight="1">
      <c r="J1037" s="4"/>
      <c r="K1037" s="4"/>
    </row>
    <row r="1038" spans="10:11" ht="15.75" customHeight="1">
      <c r="J1038" s="4"/>
      <c r="K1038" s="4"/>
    </row>
    <row r="1039" spans="10:11" ht="15.75" customHeight="1">
      <c r="J1039" s="4"/>
      <c r="K1039" s="4"/>
    </row>
    <row r="1040" spans="10:11" ht="15.75" customHeight="1">
      <c r="J1040" s="4"/>
      <c r="K1040" s="4"/>
    </row>
    <row r="1041" spans="10:11" ht="15.75" customHeight="1">
      <c r="J1041" s="4"/>
      <c r="K1041" s="4"/>
    </row>
    <row r="1042" spans="10:11" ht="15.75" customHeight="1">
      <c r="J1042" s="4"/>
      <c r="K1042" s="4"/>
    </row>
    <row r="1043" spans="10:11" ht="15.75" customHeight="1">
      <c r="J1043" s="4"/>
      <c r="K1043" s="4"/>
    </row>
    <row r="1044" spans="10:11" ht="15.75" customHeight="1">
      <c r="J1044" s="4"/>
      <c r="K1044" s="4"/>
    </row>
    <row r="1045" spans="10:11" ht="15.75" customHeight="1">
      <c r="J1045" s="4"/>
      <c r="K1045" s="4"/>
    </row>
    <row r="1046" spans="10:11" ht="15.75" customHeight="1">
      <c r="J1046" s="4"/>
      <c r="K1046" s="4"/>
    </row>
    <row r="1047" spans="10:11" ht="15.75" customHeight="1">
      <c r="J1047" s="4"/>
      <c r="K1047" s="4"/>
    </row>
    <row r="1048" spans="10:11" ht="15.75" customHeight="1">
      <c r="J1048" s="4"/>
      <c r="K1048" s="4"/>
    </row>
    <row r="1049" spans="10:11" ht="15.75" customHeight="1">
      <c r="J1049" s="4"/>
      <c r="K1049" s="4"/>
    </row>
    <row r="1050" spans="10:11" ht="15.75" customHeight="1">
      <c r="J1050" s="4"/>
      <c r="K1050" s="4"/>
    </row>
    <row r="1051" spans="10:11" ht="15.75" customHeight="1">
      <c r="J1051" s="4"/>
      <c r="K1051" s="4"/>
    </row>
    <row r="1052" spans="10:11" ht="15.75" customHeight="1">
      <c r="J1052" s="4"/>
      <c r="K1052" s="4"/>
    </row>
    <row r="1053" spans="10:11" ht="15.75" customHeight="1">
      <c r="J1053" s="4"/>
      <c r="K1053" s="4"/>
    </row>
    <row r="1054" spans="10:11" ht="15.75" customHeight="1">
      <c r="J1054" s="4"/>
      <c r="K1054" s="4"/>
    </row>
    <row r="1055" spans="10:11" ht="15.75" customHeight="1">
      <c r="J1055" s="4"/>
      <c r="K1055" s="4"/>
    </row>
    <row r="1056" spans="10:11" ht="15.75" customHeight="1">
      <c r="J1056" s="4"/>
      <c r="K1056" s="4"/>
    </row>
    <row r="1057" spans="10:11" ht="15.75" customHeight="1">
      <c r="J1057" s="4"/>
      <c r="K1057" s="4"/>
    </row>
    <row r="1058" spans="10:11" ht="15.75" customHeight="1">
      <c r="J1058" s="4"/>
      <c r="K1058" s="4"/>
    </row>
    <row r="1059" spans="10:11" ht="15.75" customHeight="1">
      <c r="J1059" s="4"/>
      <c r="K1059" s="4"/>
    </row>
    <row r="1060" spans="10:11" ht="15.75" customHeight="1">
      <c r="J1060" s="4"/>
      <c r="K1060" s="4"/>
    </row>
    <row r="1061" spans="10:11" ht="15.75" customHeight="1">
      <c r="J1061" s="4"/>
      <c r="K1061" s="4"/>
    </row>
    <row r="1062" spans="10:11" ht="15.75" customHeight="1">
      <c r="J1062" s="4"/>
      <c r="K1062" s="4"/>
    </row>
    <row r="1063" spans="10:11" ht="15.75" customHeight="1">
      <c r="J1063" s="4"/>
      <c r="K1063" s="4"/>
    </row>
    <row r="1064" spans="10:11" ht="15.75" customHeight="1">
      <c r="J1064" s="4"/>
      <c r="K1064" s="4"/>
    </row>
    <row r="1065" spans="10:11" ht="15.75" customHeight="1">
      <c r="J1065" s="4"/>
      <c r="K1065" s="4"/>
    </row>
    <row r="1066" spans="10:11" ht="15.75" customHeight="1">
      <c r="J1066" s="4"/>
      <c r="K1066" s="4"/>
    </row>
    <row r="1067" spans="10:11" ht="15.75" customHeight="1">
      <c r="J1067" s="4"/>
      <c r="K1067" s="4"/>
    </row>
    <row r="1068" spans="10:11" ht="15.75" customHeight="1">
      <c r="J1068" s="4"/>
      <c r="K1068" s="4"/>
    </row>
    <row r="1069" spans="10:11" ht="15.75" customHeight="1">
      <c r="J1069" s="4"/>
      <c r="K1069" s="4"/>
    </row>
    <row r="1070" spans="10:11" ht="15.75" customHeight="1">
      <c r="J1070" s="4"/>
      <c r="K1070" s="4"/>
    </row>
    <row r="1071" spans="10:11" ht="15.75" customHeight="1">
      <c r="J1071" s="4"/>
      <c r="K1071" s="4"/>
    </row>
    <row r="1072" spans="10:11" ht="15.75" customHeight="1">
      <c r="J1072" s="4"/>
      <c r="K1072" s="4"/>
    </row>
    <row r="1073" spans="10:11" ht="15.75" customHeight="1">
      <c r="J1073" s="4"/>
      <c r="K1073" s="4"/>
    </row>
    <row r="1074" spans="10:11" ht="15.75" customHeight="1">
      <c r="J1074" s="4"/>
      <c r="K1074" s="4"/>
    </row>
    <row r="1075" spans="10:11" ht="15.75" customHeight="1">
      <c r="J1075" s="4"/>
      <c r="K1075" s="4"/>
    </row>
    <row r="1076" spans="10:11" ht="15.75" customHeight="1">
      <c r="J1076" s="4"/>
      <c r="K1076" s="4"/>
    </row>
    <row r="1077" spans="10:11" ht="15.75" customHeight="1">
      <c r="J1077" s="4"/>
      <c r="K1077" s="4"/>
    </row>
    <row r="1078" spans="10:11" ht="15.75" customHeight="1">
      <c r="J1078" s="4"/>
      <c r="K1078" s="4"/>
    </row>
    <row r="1079" spans="10:11" ht="15.75" customHeight="1">
      <c r="J1079" s="4"/>
      <c r="K1079" s="4"/>
    </row>
    <row r="1080" spans="10:11" ht="15.75" customHeight="1">
      <c r="J1080" s="4"/>
      <c r="K1080" s="4"/>
    </row>
    <row r="1081" spans="10:11" ht="15.75" customHeight="1">
      <c r="J1081" s="4"/>
      <c r="K1081" s="4"/>
    </row>
    <row r="1082" spans="10:11" ht="15.75" customHeight="1">
      <c r="J1082" s="4"/>
      <c r="K1082" s="4"/>
    </row>
    <row r="1083" spans="10:11" ht="15.75" customHeight="1">
      <c r="J1083" s="4"/>
      <c r="K1083" s="4"/>
    </row>
    <row r="1084" spans="10:11" ht="15.75" customHeight="1">
      <c r="J1084" s="4"/>
      <c r="K1084" s="4"/>
    </row>
    <row r="1085" spans="10:11" ht="15.75" customHeight="1">
      <c r="J1085" s="4"/>
      <c r="K1085" s="4"/>
    </row>
    <row r="1086" spans="10:11" ht="15.75" customHeight="1">
      <c r="J1086" s="4"/>
      <c r="K1086" s="4"/>
    </row>
    <row r="1087" spans="10:11" ht="15.75" customHeight="1">
      <c r="J1087" s="4"/>
      <c r="K1087" s="4"/>
    </row>
    <row r="1088" spans="10:11" ht="15.75" customHeight="1">
      <c r="J1088" s="4"/>
      <c r="K1088" s="4"/>
    </row>
    <row r="1089" spans="10:11" ht="15.75" customHeight="1">
      <c r="J1089" s="4"/>
      <c r="K1089" s="4"/>
    </row>
    <row r="1090" spans="10:11" ht="15.75" customHeight="1">
      <c r="J1090" s="4"/>
      <c r="K1090" s="4"/>
    </row>
    <row r="1091" spans="10:11" ht="15.75" customHeight="1">
      <c r="J1091" s="4"/>
      <c r="K1091" s="4"/>
    </row>
    <row r="1092" spans="10:11" ht="15.75" customHeight="1">
      <c r="J1092" s="4"/>
      <c r="K1092" s="4"/>
    </row>
    <row r="1093" spans="10:11" ht="15.75" customHeight="1">
      <c r="J1093" s="4"/>
      <c r="K1093" s="4"/>
    </row>
    <row r="1094" spans="10:11" ht="15.75" customHeight="1">
      <c r="J1094" s="4"/>
      <c r="K1094" s="4"/>
    </row>
    <row r="1095" spans="10:11" ht="15.75" customHeight="1">
      <c r="J1095" s="4"/>
      <c r="K1095" s="4"/>
    </row>
    <row r="1096" spans="10:11" ht="15.75" customHeight="1">
      <c r="J1096" s="4"/>
      <c r="K1096" s="4"/>
    </row>
    <row r="1097" spans="10:11" ht="15.75" customHeight="1">
      <c r="J1097" s="4"/>
      <c r="K1097" s="4"/>
    </row>
    <row r="1098" spans="10:11" ht="15.75" customHeight="1">
      <c r="J1098" s="4"/>
      <c r="K1098" s="4"/>
    </row>
    <row r="1099" spans="10:11" ht="15.75" customHeight="1">
      <c r="J1099" s="4"/>
      <c r="K1099" s="4"/>
    </row>
    <row r="1100" spans="10:11" ht="15.75" customHeight="1">
      <c r="J1100" s="4"/>
      <c r="K1100" s="4"/>
    </row>
    <row r="1101" spans="10:11" ht="15.75" customHeight="1">
      <c r="J1101" s="4"/>
      <c r="K1101" s="4"/>
    </row>
    <row r="1102" spans="10:11" ht="15.75" customHeight="1">
      <c r="J1102" s="4"/>
      <c r="K1102" s="4"/>
    </row>
    <row r="1103" spans="10:11" ht="15.75" customHeight="1">
      <c r="J1103" s="4"/>
      <c r="K1103" s="4"/>
    </row>
    <row r="1104" spans="10:11" ht="15.75" customHeight="1">
      <c r="J1104" s="4"/>
      <c r="K1104" s="4"/>
    </row>
    <row r="1105" spans="10:11" ht="15.75" customHeight="1">
      <c r="J1105" s="4"/>
      <c r="K1105" s="4"/>
    </row>
    <row r="1106" spans="10:11" ht="15.75" customHeight="1">
      <c r="J1106" s="4"/>
      <c r="K1106" s="4"/>
    </row>
    <row r="1107" spans="10:11" ht="15.75" customHeight="1">
      <c r="J1107" s="4"/>
      <c r="K1107" s="4"/>
    </row>
    <row r="1108" spans="10:11" ht="15.75" customHeight="1">
      <c r="J1108" s="4"/>
      <c r="K1108" s="4"/>
    </row>
    <row r="1109" spans="10:11" ht="15.75" customHeight="1">
      <c r="J1109" s="4"/>
      <c r="K1109" s="4"/>
    </row>
    <row r="1110" spans="10:11" ht="15.75" customHeight="1">
      <c r="J1110" s="4"/>
      <c r="K1110" s="4"/>
    </row>
    <row r="1111" spans="10:11" ht="15.75" customHeight="1">
      <c r="J1111" s="4"/>
      <c r="K1111" s="4"/>
    </row>
    <row r="1112" spans="10:11" ht="15.75" customHeight="1">
      <c r="J1112" s="4"/>
      <c r="K1112" s="4"/>
    </row>
    <row r="1113" spans="10:11" ht="15.75" customHeight="1">
      <c r="J1113" s="4"/>
      <c r="K1113" s="4"/>
    </row>
    <row r="1114" spans="10:11" ht="15.75" customHeight="1">
      <c r="J1114" s="4"/>
      <c r="K1114" s="4"/>
    </row>
    <row r="1115" spans="10:11" ht="15.75" customHeight="1">
      <c r="J1115" s="4"/>
      <c r="K1115" s="4"/>
    </row>
    <row r="1116" spans="10:11" ht="15.75" customHeight="1">
      <c r="J1116" s="4"/>
      <c r="K1116" s="4"/>
    </row>
    <row r="1117" spans="10:11" ht="15.75" customHeight="1">
      <c r="J1117" s="4"/>
      <c r="K1117" s="4"/>
    </row>
    <row r="1118" spans="10:11" ht="15.75" customHeight="1">
      <c r="J1118" s="4"/>
      <c r="K1118" s="4"/>
    </row>
    <row r="1119" spans="10:11" ht="15.75" customHeight="1">
      <c r="J1119" s="4"/>
      <c r="K1119" s="4"/>
    </row>
    <row r="1120" spans="10:11" ht="15.75" customHeight="1">
      <c r="J1120" s="4"/>
      <c r="K1120" s="4"/>
    </row>
    <row r="1121" spans="10:11" ht="15.75" customHeight="1">
      <c r="J1121" s="4"/>
      <c r="K1121" s="4"/>
    </row>
    <row r="1122" spans="10:11" ht="15.75" customHeight="1">
      <c r="J1122" s="4"/>
      <c r="K1122" s="4"/>
    </row>
    <row r="1123" spans="10:11" ht="15.75" customHeight="1">
      <c r="J1123" s="4"/>
      <c r="K1123" s="4"/>
    </row>
    <row r="1124" spans="10:11" ht="15.75" customHeight="1">
      <c r="J1124" s="4"/>
      <c r="K1124" s="4"/>
    </row>
    <row r="1125" spans="10:11" ht="15.75" customHeight="1">
      <c r="J1125" s="4"/>
      <c r="K1125" s="4"/>
    </row>
    <row r="1126" spans="10:11" ht="15.75" customHeight="1">
      <c r="J1126" s="4"/>
      <c r="K1126" s="4"/>
    </row>
    <row r="1127" spans="10:11" ht="15.75" customHeight="1">
      <c r="J1127" s="4"/>
      <c r="K1127" s="4"/>
    </row>
    <row r="1128" spans="10:11" ht="15.75" customHeight="1">
      <c r="J1128" s="4"/>
      <c r="K1128" s="4"/>
    </row>
    <row r="1129" spans="10:11" ht="15.75" customHeight="1">
      <c r="J1129" s="4"/>
      <c r="K1129" s="4"/>
    </row>
    <row r="1130" spans="10:11" ht="15.75" customHeight="1">
      <c r="J1130" s="4"/>
      <c r="K1130" s="4"/>
    </row>
    <row r="1131" spans="10:11" ht="15.75" customHeight="1">
      <c r="J1131" s="4"/>
      <c r="K1131" s="4"/>
    </row>
    <row r="1132" spans="10:11" ht="15.75" customHeight="1">
      <c r="J1132" s="4"/>
      <c r="K1132" s="4"/>
    </row>
    <row r="1133" spans="10:11" ht="15.75" customHeight="1">
      <c r="J1133" s="4"/>
      <c r="K1133" s="4"/>
    </row>
    <row r="1134" spans="10:11" ht="15.75" customHeight="1">
      <c r="J1134" s="4"/>
      <c r="K1134" s="4"/>
    </row>
    <row r="1135" spans="10:11" ht="15.75" customHeight="1">
      <c r="J1135" s="4"/>
      <c r="K1135" s="4"/>
    </row>
    <row r="1136" spans="10:11" ht="15.75" customHeight="1">
      <c r="J1136" s="4"/>
      <c r="K1136" s="4"/>
    </row>
    <row r="1137" spans="10:11" ht="15.75" customHeight="1">
      <c r="J1137" s="4"/>
      <c r="K1137" s="4"/>
    </row>
    <row r="1138" spans="10:11" ht="15.75" customHeight="1">
      <c r="J1138" s="4"/>
      <c r="K1138" s="4"/>
    </row>
    <row r="1139" spans="10:11" ht="15.75" customHeight="1">
      <c r="J1139" s="4"/>
      <c r="K1139" s="4"/>
    </row>
    <row r="1140" spans="10:11" ht="15.75" customHeight="1">
      <c r="J1140" s="4"/>
      <c r="K1140" s="4"/>
    </row>
    <row r="1141" spans="10:11" ht="15.75" customHeight="1">
      <c r="J1141" s="4"/>
      <c r="K1141" s="4"/>
    </row>
    <row r="1142" spans="10:11" ht="15.75" customHeight="1">
      <c r="J1142" s="4"/>
      <c r="K1142" s="4"/>
    </row>
    <row r="1143" spans="10:11" ht="15.75" customHeight="1">
      <c r="J1143" s="4"/>
      <c r="K1143" s="4"/>
    </row>
    <row r="1144" spans="10:11" ht="15.75" customHeight="1">
      <c r="J1144" s="4"/>
      <c r="K1144" s="4"/>
    </row>
    <row r="1145" spans="10:11" ht="15.75" customHeight="1">
      <c r="J1145" s="4"/>
      <c r="K1145" s="4"/>
    </row>
    <row r="1146" spans="10:11" ht="15.75" customHeight="1">
      <c r="J1146" s="4"/>
      <c r="K1146" s="4"/>
    </row>
    <row r="1147" spans="10:11" ht="15.75" customHeight="1">
      <c r="J1147" s="4"/>
      <c r="K1147" s="4"/>
    </row>
    <row r="1148" spans="10:11" ht="15.75" customHeight="1">
      <c r="J1148" s="4"/>
      <c r="K1148" s="4"/>
    </row>
    <row r="1149" spans="10:11" ht="15.75" customHeight="1">
      <c r="J1149" s="4"/>
      <c r="K1149" s="4"/>
    </row>
    <row r="1150" spans="10:11" ht="15.75" customHeight="1">
      <c r="J1150" s="4"/>
      <c r="K1150" s="4"/>
    </row>
    <row r="1151" spans="10:11" ht="15.75" customHeight="1">
      <c r="J1151" s="4"/>
      <c r="K1151" s="4"/>
    </row>
    <row r="1152" spans="10:11" ht="15.75" customHeight="1">
      <c r="J1152" s="4"/>
      <c r="K1152" s="4"/>
    </row>
    <row r="1153" spans="10:11" ht="15.75" customHeight="1">
      <c r="J1153" s="4"/>
      <c r="K1153" s="4"/>
    </row>
    <row r="1154" spans="10:11" ht="15.75" customHeight="1">
      <c r="J1154" s="4"/>
      <c r="K1154" s="4"/>
    </row>
    <row r="1155" spans="10:11" ht="15.75" customHeight="1">
      <c r="J1155" s="4"/>
      <c r="K1155" s="4"/>
    </row>
    <row r="1156" spans="10:11" ht="15.75" customHeight="1">
      <c r="J1156" s="4"/>
      <c r="K1156" s="4"/>
    </row>
    <row r="1157" spans="10:11" ht="15.75" customHeight="1">
      <c r="J1157" s="4"/>
      <c r="K1157" s="4"/>
    </row>
    <row r="1158" spans="10:11" ht="15.75" customHeight="1">
      <c r="J1158" s="4"/>
      <c r="K1158" s="4"/>
    </row>
    <row r="1159" spans="10:11" ht="15.75" customHeight="1">
      <c r="J1159" s="4"/>
      <c r="K1159" s="4"/>
    </row>
    <row r="1160" spans="10:11" ht="15.75" customHeight="1">
      <c r="J1160" s="4"/>
      <c r="K1160" s="4"/>
    </row>
    <row r="1161" spans="10:11" ht="15.75" customHeight="1">
      <c r="J1161" s="4"/>
      <c r="K1161" s="4"/>
    </row>
    <row r="1162" spans="10:11" ht="15.75" customHeight="1">
      <c r="J1162" s="4"/>
      <c r="K1162" s="4"/>
    </row>
    <row r="1163" spans="10:11" ht="15.75" customHeight="1">
      <c r="J1163" s="4"/>
      <c r="K1163" s="4"/>
    </row>
    <row r="1164" spans="10:11" ht="15.75" customHeight="1">
      <c r="J1164" s="4"/>
      <c r="K1164" s="4"/>
    </row>
    <row r="1165" spans="10:11" ht="15.75" customHeight="1">
      <c r="J1165" s="4"/>
      <c r="K1165" s="4"/>
    </row>
    <row r="1166" spans="10:11" ht="15.75" customHeight="1">
      <c r="J1166" s="4"/>
      <c r="K1166" s="4"/>
    </row>
    <row r="1167" spans="10:11" ht="15.75" customHeight="1">
      <c r="J1167" s="4"/>
      <c r="K1167" s="4"/>
    </row>
    <row r="1168" spans="10:11" ht="15.75" customHeight="1">
      <c r="J1168" s="4"/>
      <c r="K1168" s="4"/>
    </row>
    <row r="1169" spans="10:11" ht="15.75" customHeight="1">
      <c r="J1169" s="4"/>
      <c r="K1169" s="4"/>
    </row>
    <row r="1170" spans="10:11" ht="15.75" customHeight="1">
      <c r="J1170" s="4"/>
      <c r="K1170" s="4"/>
    </row>
    <row r="1171" spans="10:11" ht="15.75" customHeight="1">
      <c r="J1171" s="4"/>
      <c r="K1171" s="4"/>
    </row>
    <row r="1172" spans="10:11" ht="15.75" customHeight="1">
      <c r="J1172" s="4"/>
      <c r="K1172" s="4"/>
    </row>
    <row r="1173" spans="10:11" ht="15.75" customHeight="1">
      <c r="J1173" s="4"/>
      <c r="K1173" s="4"/>
    </row>
    <row r="1174" spans="10:11" ht="15.75" customHeight="1">
      <c r="J1174" s="4"/>
      <c r="K1174" s="4"/>
    </row>
    <row r="1175" spans="10:11" ht="15.75" customHeight="1">
      <c r="J1175" s="4"/>
      <c r="K1175" s="4"/>
    </row>
    <row r="1176" spans="10:11" ht="15.75" customHeight="1">
      <c r="J1176" s="4"/>
      <c r="K1176" s="4"/>
    </row>
    <row r="1177" spans="10:11" ht="15.75" customHeight="1">
      <c r="J1177" s="4"/>
      <c r="K1177" s="4"/>
    </row>
    <row r="1178" spans="10:11" ht="15.75" customHeight="1">
      <c r="J1178" s="4"/>
      <c r="K1178" s="4"/>
    </row>
    <row r="1179" spans="10:11" ht="15.75" customHeight="1">
      <c r="J1179" s="4"/>
      <c r="K1179" s="4"/>
    </row>
    <row r="1180" spans="10:11" ht="15.75" customHeight="1">
      <c r="J1180" s="4"/>
      <c r="K1180" s="4"/>
    </row>
    <row r="1181" spans="10:11" ht="15.75" customHeight="1">
      <c r="J1181" s="4"/>
      <c r="K1181" s="4"/>
    </row>
    <row r="1182" spans="10:11" ht="15.75" customHeight="1">
      <c r="J1182" s="4"/>
      <c r="K1182" s="4"/>
    </row>
    <row r="1183" spans="10:11" ht="15.75" customHeight="1">
      <c r="J1183" s="4"/>
      <c r="K1183" s="4"/>
    </row>
    <row r="1184" spans="10:11" ht="15.75" customHeight="1">
      <c r="J1184" s="4"/>
      <c r="K1184" s="4"/>
    </row>
    <row r="1185" spans="10:11" ht="15.75" customHeight="1">
      <c r="J1185" s="4"/>
      <c r="K1185" s="4"/>
    </row>
    <row r="1186" spans="10:11" ht="15.75" customHeight="1">
      <c r="J1186" s="4"/>
      <c r="K1186" s="4"/>
    </row>
    <row r="1187" spans="10:11" ht="15.75" customHeight="1">
      <c r="J1187" s="4"/>
      <c r="K1187" s="4"/>
    </row>
    <row r="1188" spans="10:11" ht="15.75" customHeight="1">
      <c r="J1188" s="4"/>
      <c r="K1188" s="4"/>
    </row>
    <row r="1189" spans="10:11" ht="15.75" customHeight="1">
      <c r="J1189" s="4"/>
      <c r="K1189" s="4"/>
    </row>
    <row r="1190" spans="10:11" ht="15.75" customHeight="1">
      <c r="J1190" s="4"/>
      <c r="K1190" s="4"/>
    </row>
    <row r="1191" spans="10:11" ht="15.75" customHeight="1">
      <c r="J1191" s="4"/>
      <c r="K1191" s="4"/>
    </row>
    <row r="1192" spans="10:11" ht="15.75" customHeight="1">
      <c r="J1192" s="4"/>
      <c r="K1192" s="4"/>
    </row>
    <row r="1193" spans="10:11" ht="15.75" customHeight="1">
      <c r="J1193" s="4"/>
      <c r="K1193" s="4"/>
    </row>
    <row r="1194" spans="10:11" ht="15.75" customHeight="1">
      <c r="J1194" s="4"/>
      <c r="K1194" s="4"/>
    </row>
    <row r="1195" spans="10:11" ht="15.75" customHeight="1">
      <c r="J1195" s="4"/>
      <c r="K1195" s="4"/>
    </row>
    <row r="1196" spans="10:11" ht="15.75" customHeight="1">
      <c r="J1196" s="4"/>
      <c r="K1196" s="4"/>
    </row>
    <row r="1197" spans="10:11" ht="15.75" customHeight="1">
      <c r="J1197" s="4"/>
      <c r="K1197" s="4"/>
    </row>
    <row r="1198" spans="10:11" ht="15.75" customHeight="1">
      <c r="J1198" s="4"/>
      <c r="K1198" s="4"/>
    </row>
    <row r="1199" spans="10:11" ht="15.75" customHeight="1">
      <c r="J1199" s="4"/>
      <c r="K1199" s="4"/>
    </row>
    <row r="1200" spans="10:11" ht="15.75" customHeight="1">
      <c r="J1200" s="4"/>
      <c r="K1200" s="4"/>
    </row>
    <row r="1201" spans="10:11" ht="15.75" customHeight="1">
      <c r="J1201" s="4"/>
      <c r="K1201" s="4"/>
    </row>
    <row r="1202" spans="10:11" ht="15.75" customHeight="1">
      <c r="J1202" s="4"/>
      <c r="K1202" s="4"/>
    </row>
    <row r="1203" spans="10:11" ht="15.75" customHeight="1">
      <c r="J1203" s="4"/>
      <c r="K1203" s="4"/>
    </row>
    <row r="1204" spans="10:11" ht="15.75" customHeight="1">
      <c r="J1204" s="4"/>
      <c r="K1204" s="4"/>
    </row>
    <row r="1205" spans="10:11" ht="15.75" customHeight="1">
      <c r="J1205" s="4"/>
      <c r="K1205" s="4"/>
    </row>
    <row r="1206" spans="10:11" ht="15.75" customHeight="1">
      <c r="J1206" s="4"/>
      <c r="K1206" s="4"/>
    </row>
    <row r="1207" spans="10:11" ht="15.75" customHeight="1">
      <c r="J1207" s="4"/>
      <c r="K1207" s="4"/>
    </row>
    <row r="1208" spans="10:11" ht="15.75" customHeight="1">
      <c r="J1208" s="4"/>
      <c r="K1208" s="4"/>
    </row>
    <row r="1209" spans="10:11" ht="15.75" customHeight="1">
      <c r="J1209" s="4"/>
      <c r="K1209" s="4"/>
    </row>
    <row r="1210" spans="10:11" ht="15.75" customHeight="1">
      <c r="J1210" s="4"/>
      <c r="K1210" s="4"/>
    </row>
    <row r="1211" spans="10:11" ht="15.75" customHeight="1">
      <c r="J1211" s="4"/>
      <c r="K1211" s="4"/>
    </row>
    <row r="1212" spans="10:11" ht="15.75" customHeight="1">
      <c r="J1212" s="4"/>
      <c r="K1212" s="4"/>
    </row>
    <row r="1213" spans="10:11" ht="15.75" customHeight="1">
      <c r="J1213" s="4"/>
      <c r="K1213" s="4"/>
    </row>
    <row r="1214" spans="10:11" ht="15.75" customHeight="1">
      <c r="J1214" s="4"/>
      <c r="K1214" s="4"/>
    </row>
    <row r="1215" spans="10:11" ht="15.75" customHeight="1">
      <c r="J1215" s="4"/>
      <c r="K1215" s="4"/>
    </row>
    <row r="1216" spans="10:11" ht="15.75" customHeight="1">
      <c r="J1216" s="4"/>
      <c r="K1216" s="4"/>
    </row>
    <row r="1217" spans="10:11" ht="15.75" customHeight="1">
      <c r="J1217" s="4"/>
      <c r="K1217" s="4"/>
    </row>
    <row r="1218" spans="10:11" ht="15.75" customHeight="1">
      <c r="J1218" s="4"/>
      <c r="K1218" s="4"/>
    </row>
    <row r="1219" spans="10:11" ht="15.75" customHeight="1">
      <c r="J1219" s="4"/>
      <c r="K1219" s="4"/>
    </row>
    <row r="1220" spans="10:11" ht="15.75" customHeight="1">
      <c r="J1220" s="4"/>
      <c r="K1220" s="4"/>
    </row>
    <row r="1221" spans="10:11" ht="15.75" customHeight="1">
      <c r="J1221" s="4"/>
      <c r="K1221" s="4"/>
    </row>
    <row r="1222" spans="10:11" ht="15.75" customHeight="1">
      <c r="J1222" s="4"/>
      <c r="K1222" s="4"/>
    </row>
    <row r="1223" spans="10:11" ht="15.75" customHeight="1">
      <c r="J1223" s="4"/>
      <c r="K1223" s="4"/>
    </row>
    <row r="1224" spans="10:11" ht="15.75" customHeight="1">
      <c r="J1224" s="4"/>
      <c r="K1224" s="4"/>
    </row>
    <row r="1225" spans="10:11" ht="15.75" customHeight="1">
      <c r="J1225" s="4"/>
      <c r="K1225" s="4"/>
    </row>
    <row r="1226" spans="10:11" ht="15.75" customHeight="1">
      <c r="J1226" s="4"/>
      <c r="K1226" s="4"/>
    </row>
    <row r="1227" spans="10:11" ht="15.75" customHeight="1">
      <c r="J1227" s="4"/>
      <c r="K1227" s="4"/>
    </row>
    <row r="1228" spans="10:11" ht="15.75" customHeight="1">
      <c r="J1228" s="4"/>
      <c r="K1228" s="4"/>
    </row>
    <row r="1229" spans="10:11" ht="15.75" customHeight="1">
      <c r="J1229" s="4"/>
      <c r="K1229" s="4"/>
    </row>
    <row r="1230" spans="10:11" ht="15.75" customHeight="1">
      <c r="J1230" s="4"/>
      <c r="K1230" s="4"/>
    </row>
    <row r="1231" spans="10:11" ht="15.75" customHeight="1">
      <c r="J1231" s="4"/>
      <c r="K1231" s="4"/>
    </row>
    <row r="1232" spans="10:11" ht="15.75" customHeight="1">
      <c r="J1232" s="4"/>
      <c r="K1232" s="4"/>
    </row>
    <row r="1233" spans="10:11" ht="15.75" customHeight="1">
      <c r="J1233" s="4"/>
      <c r="K1233" s="4"/>
    </row>
    <row r="1234" spans="10:11" ht="15.75" customHeight="1">
      <c r="J1234" s="4"/>
      <c r="K1234" s="4"/>
    </row>
    <row r="1235" spans="10:11" ht="15.75" customHeight="1">
      <c r="J1235" s="4"/>
      <c r="K1235" s="4"/>
    </row>
    <row r="1236" spans="10:11" ht="15.75" customHeight="1">
      <c r="J1236" s="4"/>
      <c r="K1236" s="4"/>
    </row>
    <row r="1237" spans="10:11" ht="15.75" customHeight="1">
      <c r="J1237" s="4"/>
      <c r="K1237" s="4"/>
    </row>
    <row r="1238" spans="10:11" ht="15.75" customHeight="1">
      <c r="J1238" s="4"/>
      <c r="K1238" s="4"/>
    </row>
    <row r="1239" spans="10:11" ht="15.75" customHeight="1">
      <c r="J1239" s="4"/>
      <c r="K1239" s="4"/>
    </row>
    <row r="1240" spans="10:11" ht="15.75" customHeight="1">
      <c r="J1240" s="4"/>
      <c r="K1240" s="4"/>
    </row>
    <row r="1241" spans="10:11" ht="15.75" customHeight="1">
      <c r="J1241" s="4"/>
      <c r="K1241" s="4"/>
    </row>
    <row r="1242" spans="10:11" ht="15.75" customHeight="1">
      <c r="J1242" s="4"/>
      <c r="K1242" s="4"/>
    </row>
    <row r="1243" spans="10:11" ht="15.75" customHeight="1">
      <c r="J1243" s="4"/>
      <c r="K1243" s="4"/>
    </row>
    <row r="1244" spans="10:11" ht="15.75" customHeight="1">
      <c r="J1244" s="4"/>
      <c r="K1244" s="4"/>
    </row>
    <row r="1245" spans="10:11" ht="15.75" customHeight="1">
      <c r="J1245" s="4"/>
      <c r="K1245" s="4"/>
    </row>
    <row r="1246" spans="10:11" ht="15.75" customHeight="1">
      <c r="J1246" s="4"/>
      <c r="K1246" s="4"/>
    </row>
    <row r="1247" spans="10:11" ht="15.75" customHeight="1">
      <c r="J1247" s="4"/>
      <c r="K1247" s="4"/>
    </row>
    <row r="1248" spans="10:11" ht="15.75" customHeight="1">
      <c r="J1248" s="4"/>
      <c r="K1248" s="4"/>
    </row>
    <row r="1249" spans="10:11" ht="15.75" customHeight="1">
      <c r="J1249" s="4"/>
      <c r="K1249" s="4"/>
    </row>
    <row r="1250" spans="10:11" ht="15.75" customHeight="1">
      <c r="J1250" s="4"/>
      <c r="K1250" s="4"/>
    </row>
    <row r="1251" spans="10:11" ht="15.75" customHeight="1">
      <c r="J1251" s="4"/>
      <c r="K1251" s="4"/>
    </row>
    <row r="1252" spans="10:11" ht="15.75" customHeight="1">
      <c r="J1252" s="4"/>
      <c r="K1252" s="4"/>
    </row>
    <row r="1253" spans="10:11" ht="15.75" customHeight="1">
      <c r="J1253" s="4"/>
      <c r="K1253" s="4"/>
    </row>
    <row r="1254" spans="10:11" ht="15.75" customHeight="1">
      <c r="J1254" s="4"/>
      <c r="K1254" s="4"/>
    </row>
    <row r="1255" spans="10:11" ht="15.75" customHeight="1">
      <c r="J1255" s="4"/>
      <c r="K1255" s="4"/>
    </row>
    <row r="1256" spans="10:11" ht="15.75" customHeight="1">
      <c r="J1256" s="4"/>
      <c r="K1256" s="4"/>
    </row>
    <row r="1257" spans="10:11" ht="15.75" customHeight="1">
      <c r="J1257" s="4"/>
      <c r="K1257" s="4"/>
    </row>
    <row r="1258" spans="10:11" ht="15.75" customHeight="1">
      <c r="J1258" s="4"/>
      <c r="K1258" s="4"/>
    </row>
    <row r="1259" spans="10:11" ht="15.75" customHeight="1">
      <c r="J1259" s="4"/>
      <c r="K1259" s="4"/>
    </row>
    <row r="1260" spans="10:11" ht="15.75" customHeight="1">
      <c r="J1260" s="4"/>
      <c r="K1260" s="4"/>
    </row>
    <row r="1261" spans="10:11" ht="15.75" customHeight="1">
      <c r="J1261" s="4"/>
      <c r="K1261" s="4"/>
    </row>
    <row r="1262" spans="10:11" ht="15.75" customHeight="1">
      <c r="J1262" s="4"/>
      <c r="K1262" s="4"/>
    </row>
    <row r="1263" spans="10:11" ht="15.75" customHeight="1">
      <c r="J1263" s="4"/>
      <c r="K1263" s="4"/>
    </row>
    <row r="1264" spans="10:11" ht="15.75" customHeight="1">
      <c r="J1264" s="4"/>
      <c r="K1264" s="4"/>
    </row>
    <row r="1265" spans="10:11" ht="15.75" customHeight="1">
      <c r="J1265" s="4"/>
      <c r="K1265" s="4"/>
    </row>
    <row r="1266" spans="10:11" ht="15.75" customHeight="1">
      <c r="J1266" s="4"/>
      <c r="K1266" s="4"/>
    </row>
    <row r="1267" spans="10:11" ht="15.75" customHeight="1">
      <c r="J1267" s="4"/>
      <c r="K1267" s="4"/>
    </row>
    <row r="1268" spans="10:11" ht="15.75" customHeight="1">
      <c r="J1268" s="4"/>
      <c r="K1268" s="4"/>
    </row>
    <row r="1269" spans="10:11" ht="15.75" customHeight="1">
      <c r="J1269" s="4"/>
      <c r="K1269" s="4"/>
    </row>
    <row r="1270" spans="10:11" ht="15.75" customHeight="1">
      <c r="J1270" s="4"/>
      <c r="K1270" s="4"/>
    </row>
    <row r="1271" spans="10:11" ht="15.75" customHeight="1">
      <c r="J1271" s="4"/>
      <c r="K1271" s="4"/>
    </row>
    <row r="1272" spans="10:11" ht="15.75" customHeight="1">
      <c r="J1272" s="4"/>
      <c r="K1272" s="4"/>
    </row>
    <row r="1273" spans="10:11" ht="15.75" customHeight="1">
      <c r="J1273" s="4"/>
      <c r="K1273" s="4"/>
    </row>
    <row r="1274" spans="10:11" ht="15.75" customHeight="1">
      <c r="J1274" s="4"/>
      <c r="K1274" s="4"/>
    </row>
    <row r="1275" spans="10:11" ht="15.75" customHeight="1">
      <c r="J1275" s="4"/>
      <c r="K1275" s="4"/>
    </row>
    <row r="1276" spans="10:11" ht="15.75" customHeight="1">
      <c r="J1276" s="4"/>
      <c r="K1276" s="4"/>
    </row>
    <row r="1277" spans="10:11" ht="15.75" customHeight="1">
      <c r="J1277" s="4"/>
      <c r="K1277" s="4"/>
    </row>
    <row r="1278" spans="10:11" ht="15.75" customHeight="1">
      <c r="J1278" s="4"/>
      <c r="K1278" s="4"/>
    </row>
    <row r="1279" spans="10:11" ht="15.75" customHeight="1">
      <c r="J1279" s="4"/>
      <c r="K1279" s="4"/>
    </row>
    <row r="1280" spans="10:11" ht="15.75" customHeight="1">
      <c r="J1280" s="4"/>
      <c r="K1280" s="4"/>
    </row>
    <row r="1281" spans="10:11" ht="15.75" customHeight="1">
      <c r="J1281" s="4"/>
      <c r="K1281" s="4"/>
    </row>
    <row r="1282" spans="10:11" ht="15.75" customHeight="1">
      <c r="J1282" s="4"/>
      <c r="K1282" s="4"/>
    </row>
    <row r="1283" spans="10:11" ht="15.75" customHeight="1">
      <c r="J1283" s="4"/>
      <c r="K1283" s="4"/>
    </row>
    <row r="1284" spans="10:11" ht="15.75" customHeight="1">
      <c r="J1284" s="4"/>
      <c r="K1284" s="4"/>
    </row>
    <row r="1285" spans="10:11" ht="15.75" customHeight="1">
      <c r="J1285" s="4"/>
      <c r="K1285" s="4"/>
    </row>
    <row r="1286" spans="10:11" ht="15.75" customHeight="1">
      <c r="J1286" s="4"/>
      <c r="K1286" s="4"/>
    </row>
    <row r="1287" spans="10:11" ht="15.75" customHeight="1">
      <c r="J1287" s="4"/>
      <c r="K1287" s="4"/>
    </row>
    <row r="1288" spans="10:11" ht="15.75" customHeight="1">
      <c r="J1288" s="4"/>
      <c r="K1288" s="4"/>
    </row>
    <row r="1289" spans="10:11" ht="15.75" customHeight="1">
      <c r="J1289" s="4"/>
      <c r="K1289" s="4"/>
    </row>
    <row r="1290" spans="10:11" ht="15.75" customHeight="1">
      <c r="J1290" s="4"/>
      <c r="K1290" s="4"/>
    </row>
    <row r="1291" spans="10:11" ht="15.75" customHeight="1">
      <c r="J1291" s="4"/>
      <c r="K1291" s="4"/>
    </row>
    <row r="1292" spans="10:11" ht="15.75" customHeight="1">
      <c r="J1292" s="4"/>
      <c r="K1292" s="4"/>
    </row>
    <row r="1293" spans="10:11" ht="15.75" customHeight="1">
      <c r="J1293" s="4"/>
      <c r="K1293" s="4"/>
    </row>
    <row r="1294" spans="10:11" ht="15.75" customHeight="1">
      <c r="J1294" s="4"/>
      <c r="K1294" s="4"/>
    </row>
    <row r="1295" spans="10:11" ht="15.75" customHeight="1">
      <c r="J1295" s="4"/>
      <c r="K1295" s="4"/>
    </row>
    <row r="1296" spans="10:11" ht="15.75" customHeight="1">
      <c r="J1296" s="4"/>
      <c r="K1296" s="4"/>
    </row>
    <row r="1297" spans="10:11" ht="15.75" customHeight="1">
      <c r="J1297" s="4"/>
      <c r="K1297" s="4"/>
    </row>
    <row r="1298" spans="10:11" ht="15.75" customHeight="1">
      <c r="J1298" s="4"/>
      <c r="K1298" s="4"/>
    </row>
    <row r="1299" spans="10:11" ht="15.75" customHeight="1">
      <c r="J1299" s="4"/>
      <c r="K1299" s="4"/>
    </row>
    <row r="1300" spans="10:11" ht="15.75" customHeight="1">
      <c r="J1300" s="4"/>
      <c r="K1300" s="4"/>
    </row>
    <row r="1301" spans="10:11" ht="15.75" customHeight="1">
      <c r="J1301" s="4"/>
      <c r="K1301" s="4"/>
    </row>
    <row r="1302" spans="10:11" ht="15.75" customHeight="1">
      <c r="J1302" s="4"/>
      <c r="K1302" s="4"/>
    </row>
    <row r="1303" spans="10:11" ht="15.75" customHeight="1">
      <c r="J1303" s="4"/>
      <c r="K1303" s="4"/>
    </row>
    <row r="1304" spans="10:11" ht="15.75" customHeight="1">
      <c r="J1304" s="4"/>
      <c r="K1304" s="4"/>
    </row>
    <row r="1305" spans="10:11" ht="15.75" customHeight="1">
      <c r="J1305" s="4"/>
      <c r="K1305" s="4"/>
    </row>
    <row r="1306" spans="10:11" ht="15.75" customHeight="1">
      <c r="J1306" s="4"/>
      <c r="K1306" s="4"/>
    </row>
    <row r="1307" spans="10:11" ht="15.75" customHeight="1">
      <c r="J1307" s="4"/>
      <c r="K1307" s="4"/>
    </row>
    <row r="1308" spans="10:11" ht="15.75" customHeight="1">
      <c r="J1308" s="4"/>
      <c r="K1308" s="4"/>
    </row>
    <row r="1309" spans="10:11" ht="15.75" customHeight="1">
      <c r="J1309" s="4"/>
      <c r="K1309" s="4"/>
    </row>
    <row r="1310" spans="10:11" ht="15.75" customHeight="1">
      <c r="J1310" s="4"/>
      <c r="K1310" s="4"/>
    </row>
    <row r="1311" spans="10:11" ht="15.75" customHeight="1">
      <c r="J1311" s="4"/>
      <c r="K1311" s="4"/>
    </row>
    <row r="1312" spans="10:11" ht="15.75" customHeight="1">
      <c r="J1312" s="4"/>
      <c r="K1312" s="4"/>
    </row>
    <row r="1313" spans="10:11" ht="15.75" customHeight="1">
      <c r="J1313" s="4"/>
      <c r="K1313" s="4"/>
    </row>
    <row r="1314" spans="10:11" ht="15.75" customHeight="1">
      <c r="J1314" s="4"/>
      <c r="K1314" s="4"/>
    </row>
    <row r="1315" spans="10:11" ht="15.75" customHeight="1">
      <c r="J1315" s="4"/>
      <c r="K1315" s="4"/>
    </row>
    <row r="1316" spans="10:11" ht="15.75" customHeight="1">
      <c r="J1316" s="4"/>
      <c r="K1316" s="4"/>
    </row>
    <row r="1317" spans="10:11" ht="15.75" customHeight="1">
      <c r="J1317" s="4"/>
      <c r="K1317" s="4"/>
    </row>
    <row r="1318" spans="10:11" ht="15.75" customHeight="1">
      <c r="J1318" s="4"/>
      <c r="K1318" s="4"/>
    </row>
    <row r="1319" spans="10:11" ht="15.75" customHeight="1">
      <c r="J1319" s="4"/>
      <c r="K1319" s="4"/>
    </row>
    <row r="1320" spans="10:11" ht="15.75" customHeight="1">
      <c r="J1320" s="4"/>
      <c r="K1320" s="4"/>
    </row>
    <row r="1321" spans="10:11" ht="15.75" customHeight="1">
      <c r="J1321" s="4"/>
      <c r="K1321" s="4"/>
    </row>
    <row r="1322" spans="10:11" ht="15.75" customHeight="1">
      <c r="J1322" s="4"/>
      <c r="K1322" s="4"/>
    </row>
    <row r="1323" spans="10:11" ht="15.75" customHeight="1">
      <c r="J1323" s="4"/>
      <c r="K1323" s="4"/>
    </row>
    <row r="1324" spans="10:11" ht="15.75" customHeight="1">
      <c r="J1324" s="4"/>
      <c r="K1324" s="4"/>
    </row>
    <row r="1325" spans="10:11" ht="15.75" customHeight="1">
      <c r="J1325" s="4"/>
      <c r="K1325" s="4"/>
    </row>
    <row r="1326" spans="10:11" ht="15.75" customHeight="1">
      <c r="J1326" s="4"/>
      <c r="K1326" s="4"/>
    </row>
    <row r="1327" spans="10:11" ht="15.75" customHeight="1">
      <c r="J1327" s="4"/>
      <c r="K1327" s="4"/>
    </row>
    <row r="1328" spans="10:11" ht="15.75" customHeight="1">
      <c r="J1328" s="4"/>
      <c r="K1328" s="4"/>
    </row>
    <row r="1329" spans="10:11" ht="15.75" customHeight="1">
      <c r="J1329" s="4"/>
      <c r="K1329" s="4"/>
    </row>
    <row r="1330" spans="10:11" ht="15.75" customHeight="1">
      <c r="J1330" s="4"/>
      <c r="K1330" s="4"/>
    </row>
    <row r="1331" spans="10:11" ht="15.75" customHeight="1">
      <c r="J1331" s="4"/>
      <c r="K1331" s="4"/>
    </row>
    <row r="1332" spans="10:11" ht="15.75" customHeight="1">
      <c r="J1332" s="4"/>
      <c r="K1332" s="4"/>
    </row>
    <row r="1333" spans="10:11" ht="15.75" customHeight="1">
      <c r="J1333" s="4"/>
      <c r="K1333" s="4"/>
    </row>
    <row r="1334" spans="10:11" ht="15.75" customHeight="1">
      <c r="J1334" s="4"/>
      <c r="K1334" s="4"/>
    </row>
    <row r="1335" spans="10:11" ht="15.75" customHeight="1">
      <c r="J1335" s="4"/>
      <c r="K1335" s="4"/>
    </row>
    <row r="1336" spans="10:11" ht="15.75" customHeight="1">
      <c r="J1336" s="4"/>
      <c r="K1336" s="4"/>
    </row>
    <row r="1337" spans="10:11" ht="15.75" customHeight="1">
      <c r="J1337" s="4"/>
      <c r="K1337" s="4"/>
    </row>
    <row r="1338" spans="10:11" ht="15.75" customHeight="1">
      <c r="J1338" s="4"/>
      <c r="K1338" s="4"/>
    </row>
    <row r="1339" spans="10:11" ht="15.75" customHeight="1">
      <c r="J1339" s="4"/>
      <c r="K1339" s="4"/>
    </row>
    <row r="1340" spans="10:11" ht="15.75" customHeight="1">
      <c r="J1340" s="4"/>
      <c r="K1340" s="4"/>
    </row>
    <row r="1341" spans="10:11" ht="15.75" customHeight="1">
      <c r="J1341" s="4"/>
      <c r="K1341" s="4"/>
    </row>
    <row r="1342" spans="10:11" ht="15.75" customHeight="1">
      <c r="J1342" s="4"/>
      <c r="K1342" s="4"/>
    </row>
    <row r="1343" spans="10:11" ht="15.75" customHeight="1">
      <c r="J1343" s="4"/>
      <c r="K1343" s="4"/>
    </row>
    <row r="1344" spans="10:11" ht="15.75" customHeight="1">
      <c r="J1344" s="4"/>
      <c r="K1344" s="4"/>
    </row>
    <row r="1345" spans="10:11" ht="15.75" customHeight="1">
      <c r="J1345" s="4"/>
      <c r="K1345" s="4"/>
    </row>
    <row r="1346" spans="10:11" ht="15.75" customHeight="1">
      <c r="J1346" s="4"/>
      <c r="K1346" s="4"/>
    </row>
    <row r="1347" spans="10:11" ht="15.75" customHeight="1">
      <c r="J1347" s="4"/>
      <c r="K1347" s="4"/>
    </row>
    <row r="1348" spans="10:11" ht="15.75" customHeight="1">
      <c r="J1348" s="4"/>
      <c r="K1348" s="4"/>
    </row>
    <row r="1349" spans="10:11" ht="15.75" customHeight="1">
      <c r="J1349" s="4"/>
      <c r="K1349" s="4"/>
    </row>
    <row r="1350" spans="10:11" ht="15.75" customHeight="1">
      <c r="J1350" s="4"/>
      <c r="K1350" s="4"/>
    </row>
    <row r="1351" spans="10:11" ht="15.75" customHeight="1">
      <c r="J1351" s="4"/>
      <c r="K1351" s="4"/>
    </row>
    <row r="1352" spans="10:11" ht="15.75" customHeight="1">
      <c r="J1352" s="4"/>
      <c r="K1352" s="4"/>
    </row>
    <row r="1353" spans="10:11" ht="15.75" customHeight="1">
      <c r="J1353" s="4"/>
      <c r="K1353" s="4"/>
    </row>
    <row r="1354" spans="10:11" ht="15.75" customHeight="1">
      <c r="J1354" s="4"/>
      <c r="K1354" s="4"/>
    </row>
    <row r="1355" spans="10:11" ht="15.75" customHeight="1">
      <c r="J1355" s="4"/>
      <c r="K1355" s="4"/>
    </row>
    <row r="1356" spans="10:11" ht="15.75" customHeight="1">
      <c r="J1356" s="4"/>
      <c r="K1356" s="4"/>
    </row>
    <row r="1357" spans="10:11" ht="15.75" customHeight="1">
      <c r="J1357" s="4"/>
      <c r="K1357" s="4"/>
    </row>
    <row r="1358" spans="10:11" ht="15.75" customHeight="1">
      <c r="J1358" s="4"/>
      <c r="K1358" s="4"/>
    </row>
    <row r="1359" spans="10:11" ht="15.75" customHeight="1">
      <c r="J1359" s="4"/>
      <c r="K1359" s="4"/>
    </row>
    <row r="1360" spans="10:11" ht="15.75" customHeight="1">
      <c r="J1360" s="4"/>
      <c r="K1360" s="4"/>
    </row>
    <row r="1361" spans="10:11" ht="15.75" customHeight="1">
      <c r="J1361" s="4"/>
      <c r="K1361" s="4"/>
    </row>
    <row r="1362" spans="10:11" ht="15.75" customHeight="1">
      <c r="J1362" s="4"/>
      <c r="K1362" s="4"/>
    </row>
    <row r="1363" spans="10:11" ht="15.75" customHeight="1">
      <c r="J1363" s="4"/>
      <c r="K1363" s="4"/>
    </row>
    <row r="1364" spans="10:11" ht="15.75" customHeight="1">
      <c r="J1364" s="4"/>
      <c r="K1364" s="4"/>
    </row>
    <row r="1365" spans="10:11" ht="15.75" customHeight="1">
      <c r="J1365" s="4"/>
      <c r="K1365" s="4"/>
    </row>
    <row r="1366" spans="10:11" ht="15.75" customHeight="1">
      <c r="J1366" s="4"/>
      <c r="K1366" s="4"/>
    </row>
    <row r="1367" spans="10:11" ht="15.75" customHeight="1">
      <c r="J1367" s="4"/>
      <c r="K1367" s="4"/>
    </row>
    <row r="1368" spans="10:11" ht="15.75" customHeight="1">
      <c r="J1368" s="4"/>
      <c r="K1368" s="4"/>
    </row>
    <row r="1369" spans="10:11" ht="15.75" customHeight="1">
      <c r="J1369" s="4"/>
      <c r="K1369" s="4"/>
    </row>
    <row r="1370" spans="10:11" ht="15.75" customHeight="1">
      <c r="J1370" s="4"/>
      <c r="K1370" s="4"/>
    </row>
    <row r="1371" spans="10:11" ht="15.75" customHeight="1">
      <c r="J1371" s="4"/>
      <c r="K1371" s="4"/>
    </row>
    <row r="1372" spans="10:11" ht="15.75" customHeight="1">
      <c r="J1372" s="4"/>
      <c r="K1372" s="4"/>
    </row>
    <row r="1373" spans="10:11" ht="15.75" customHeight="1">
      <c r="J1373" s="4"/>
      <c r="K1373" s="4"/>
    </row>
    <row r="1374" spans="10:11" ht="15.75" customHeight="1">
      <c r="J1374" s="4"/>
      <c r="K1374" s="4"/>
    </row>
    <row r="1375" spans="10:11" ht="15.75" customHeight="1">
      <c r="J1375" s="4"/>
      <c r="K1375" s="4"/>
    </row>
    <row r="1376" spans="10:11" ht="15.75" customHeight="1">
      <c r="J1376" s="4"/>
      <c r="K1376" s="4"/>
    </row>
    <row r="1377" spans="10:11" ht="15.75" customHeight="1">
      <c r="J1377" s="4"/>
      <c r="K1377" s="4"/>
    </row>
    <row r="1378" spans="10:11" ht="15.75" customHeight="1">
      <c r="J1378" s="4"/>
      <c r="K1378" s="4"/>
    </row>
    <row r="1379" spans="10:11" ht="15.75" customHeight="1">
      <c r="J1379" s="4"/>
      <c r="K1379" s="4"/>
    </row>
    <row r="1380" spans="10:11" ht="15.75" customHeight="1">
      <c r="J1380" s="4"/>
      <c r="K1380" s="4"/>
    </row>
    <row r="1381" spans="10:11" ht="15.75" customHeight="1">
      <c r="J1381" s="4"/>
      <c r="K1381" s="4"/>
    </row>
    <row r="1382" spans="10:11" ht="15.75" customHeight="1">
      <c r="J1382" s="4"/>
      <c r="K1382" s="4"/>
    </row>
    <row r="1383" spans="10:11" ht="15.75" customHeight="1">
      <c r="J1383" s="4"/>
      <c r="K1383" s="4"/>
    </row>
    <row r="1384" spans="10:11" ht="15.75" customHeight="1">
      <c r="J1384" s="4"/>
      <c r="K1384" s="4"/>
    </row>
    <row r="1385" spans="10:11" ht="15.75" customHeight="1">
      <c r="J1385" s="4"/>
      <c r="K1385" s="4"/>
    </row>
    <row r="1386" spans="10:11" ht="15.75" customHeight="1">
      <c r="J1386" s="4"/>
      <c r="K1386" s="4"/>
    </row>
    <row r="1387" spans="10:11" ht="15.75" customHeight="1">
      <c r="J1387" s="4"/>
      <c r="K1387" s="4"/>
    </row>
    <row r="1388" spans="10:11" ht="15.75" customHeight="1">
      <c r="J1388" s="4"/>
      <c r="K1388" s="4"/>
    </row>
    <row r="1389" spans="10:11" ht="15.75" customHeight="1">
      <c r="J1389" s="4"/>
      <c r="K1389" s="4"/>
    </row>
    <row r="1390" spans="10:11" ht="15.75" customHeight="1">
      <c r="J1390" s="4"/>
      <c r="K1390" s="4"/>
    </row>
    <row r="1391" spans="10:11" ht="15.75" customHeight="1">
      <c r="J1391" s="4"/>
      <c r="K1391" s="4"/>
    </row>
    <row r="1392" spans="10:11" ht="15.75" customHeight="1">
      <c r="J1392" s="4"/>
      <c r="K1392" s="4"/>
    </row>
    <row r="1393" spans="10:11" ht="15.75" customHeight="1">
      <c r="J1393" s="4"/>
      <c r="K1393" s="4"/>
    </row>
    <row r="1394" spans="10:11" ht="15.75" customHeight="1">
      <c r="J1394" s="4"/>
      <c r="K1394" s="4"/>
    </row>
    <row r="1395" spans="10:11" ht="15.75" customHeight="1">
      <c r="J1395" s="4"/>
      <c r="K1395" s="4"/>
    </row>
    <row r="1396" spans="10:11" ht="15.75" customHeight="1">
      <c r="J1396" s="4"/>
      <c r="K1396" s="4"/>
    </row>
    <row r="1397" spans="10:11" ht="15.75" customHeight="1">
      <c r="J1397" s="4"/>
      <c r="K1397" s="4"/>
    </row>
    <row r="1398" spans="10:11" ht="15.75" customHeight="1">
      <c r="J1398" s="4"/>
      <c r="K1398" s="4"/>
    </row>
    <row r="1399" spans="10:11" ht="15.75" customHeight="1">
      <c r="J1399" s="4"/>
      <c r="K1399" s="4"/>
    </row>
    <row r="1400" spans="10:11" ht="15.75" customHeight="1">
      <c r="J1400" s="4"/>
      <c r="K1400" s="4"/>
    </row>
    <row r="1401" spans="10:11" ht="15.75" customHeight="1">
      <c r="J1401" s="4"/>
      <c r="K1401" s="4"/>
    </row>
    <row r="1402" spans="10:11" ht="15.75" customHeight="1">
      <c r="J1402" s="4"/>
      <c r="K1402" s="4"/>
    </row>
    <row r="1403" spans="10:11" ht="15.75" customHeight="1">
      <c r="J1403" s="4"/>
      <c r="K1403" s="4"/>
    </row>
    <row r="1404" spans="10:11" ht="15.75" customHeight="1">
      <c r="J1404" s="4"/>
      <c r="K1404" s="4"/>
    </row>
    <row r="1405" spans="10:11" ht="15.75" customHeight="1">
      <c r="J1405" s="4"/>
      <c r="K1405" s="4"/>
    </row>
    <row r="1406" spans="10:11" ht="15.75" customHeight="1">
      <c r="J1406" s="4"/>
      <c r="K1406" s="4"/>
    </row>
    <row r="1407" spans="10:11" ht="15.75" customHeight="1">
      <c r="J1407" s="4"/>
      <c r="K1407" s="4"/>
    </row>
    <row r="1408" spans="10:11" ht="15.75" customHeight="1">
      <c r="J1408" s="4"/>
      <c r="K1408" s="4"/>
    </row>
    <row r="1409" spans="10:11" ht="15.75" customHeight="1">
      <c r="J1409" s="4"/>
      <c r="K1409" s="4"/>
    </row>
    <row r="1410" spans="10:11" ht="15.75" customHeight="1">
      <c r="J1410" s="4"/>
      <c r="K1410" s="4"/>
    </row>
    <row r="1411" spans="10:11" ht="15.75" customHeight="1">
      <c r="J1411" s="4"/>
      <c r="K1411" s="4"/>
    </row>
    <row r="1412" spans="10:11" ht="15.75" customHeight="1">
      <c r="J1412" s="4"/>
      <c r="K1412" s="4"/>
    </row>
    <row r="1413" spans="10:11" ht="15.75" customHeight="1">
      <c r="J1413" s="4"/>
      <c r="K1413" s="4"/>
    </row>
    <row r="1414" spans="10:11" ht="15.75" customHeight="1">
      <c r="J1414" s="4"/>
      <c r="K1414" s="4"/>
    </row>
    <row r="1415" spans="10:11" ht="15.75" customHeight="1">
      <c r="J1415" s="4"/>
      <c r="K1415" s="4"/>
    </row>
    <row r="1416" spans="10:11" ht="15.75" customHeight="1">
      <c r="J1416" s="4"/>
      <c r="K1416" s="4"/>
    </row>
    <row r="1417" spans="10:11" ht="15.75" customHeight="1">
      <c r="J1417" s="4"/>
      <c r="K1417" s="4"/>
    </row>
    <row r="1418" spans="10:11" ht="15.75" customHeight="1">
      <c r="J1418" s="4"/>
      <c r="K1418" s="4"/>
    </row>
    <row r="1419" spans="10:11" ht="15.75" customHeight="1">
      <c r="J1419" s="4"/>
      <c r="K1419" s="4"/>
    </row>
    <row r="1420" spans="10:11" ht="15.75" customHeight="1">
      <c r="J1420" s="4"/>
      <c r="K1420" s="4"/>
    </row>
    <row r="1421" spans="10:11" ht="15.75" customHeight="1">
      <c r="J1421" s="4"/>
      <c r="K1421" s="4"/>
    </row>
    <row r="1422" spans="10:11" ht="15.75" customHeight="1">
      <c r="J1422" s="4"/>
      <c r="K1422" s="4"/>
    </row>
    <row r="1423" spans="10:11" ht="15.75" customHeight="1">
      <c r="J1423" s="4"/>
      <c r="K1423" s="4"/>
    </row>
    <row r="1424" spans="10:11" ht="15.75" customHeight="1">
      <c r="J1424" s="4"/>
      <c r="K1424" s="4"/>
    </row>
    <row r="1425" spans="10:11" ht="15.75" customHeight="1">
      <c r="J1425" s="4"/>
      <c r="K1425" s="4"/>
    </row>
    <row r="1426" spans="10:11" ht="15.75" customHeight="1">
      <c r="J1426" s="4"/>
      <c r="K1426" s="4"/>
    </row>
    <row r="1427" spans="10:11" ht="15.75" customHeight="1">
      <c r="J1427" s="4"/>
      <c r="K1427" s="4"/>
    </row>
    <row r="1428" spans="10:11" ht="15.75" customHeight="1">
      <c r="J1428" s="4"/>
      <c r="K1428" s="4"/>
    </row>
    <row r="1429" spans="10:11" ht="15.75" customHeight="1">
      <c r="J1429" s="4"/>
      <c r="K1429" s="4"/>
    </row>
    <row r="1430" spans="10:11" ht="15.75" customHeight="1">
      <c r="J1430" s="4"/>
      <c r="K1430" s="4"/>
    </row>
    <row r="1431" spans="10:11" ht="15.75" customHeight="1">
      <c r="J1431" s="4"/>
      <c r="K1431" s="4"/>
    </row>
    <row r="1432" spans="10:11" ht="15.75" customHeight="1">
      <c r="J1432" s="4"/>
      <c r="K1432" s="4"/>
    </row>
    <row r="1433" spans="10:11" ht="15.75" customHeight="1">
      <c r="J1433" s="4"/>
      <c r="K1433" s="4"/>
    </row>
    <row r="1434" spans="10:11" ht="15.75" customHeight="1">
      <c r="J1434" s="4"/>
      <c r="K1434" s="4"/>
    </row>
    <row r="1435" spans="10:11" ht="15.75" customHeight="1">
      <c r="J1435" s="4"/>
      <c r="K1435" s="4"/>
    </row>
    <row r="1436" spans="10:11" ht="15.75" customHeight="1">
      <c r="J1436" s="4"/>
      <c r="K1436" s="4"/>
    </row>
    <row r="1437" spans="10:11" ht="15.75" customHeight="1">
      <c r="J1437" s="4"/>
      <c r="K1437" s="4"/>
    </row>
    <row r="1438" spans="10:11" ht="15.75" customHeight="1">
      <c r="J1438" s="4"/>
      <c r="K1438" s="4"/>
    </row>
    <row r="1439" spans="10:11" ht="15.75" customHeight="1">
      <c r="J1439" s="4"/>
      <c r="K1439" s="4"/>
    </row>
    <row r="1440" spans="10:11" ht="15.75" customHeight="1">
      <c r="J1440" s="4"/>
      <c r="K1440" s="4"/>
    </row>
    <row r="1441" spans="10:11" ht="15.75" customHeight="1">
      <c r="J1441" s="4"/>
      <c r="K1441" s="4"/>
    </row>
    <row r="1442" spans="10:11" ht="15.75" customHeight="1">
      <c r="J1442" s="4"/>
      <c r="K1442" s="4"/>
    </row>
    <row r="1443" spans="10:11" ht="15.75" customHeight="1">
      <c r="J1443" s="4"/>
      <c r="K1443" s="4"/>
    </row>
    <row r="1444" spans="10:11" ht="15.75" customHeight="1">
      <c r="J1444" s="4"/>
      <c r="K1444" s="4"/>
    </row>
    <row r="1445" spans="10:11" ht="15.75" customHeight="1">
      <c r="J1445" s="4"/>
      <c r="K1445" s="4"/>
    </row>
    <row r="1446" spans="10:11" ht="15.75" customHeight="1">
      <c r="J1446" s="4"/>
      <c r="K1446" s="4"/>
    </row>
    <row r="1447" spans="10:11" ht="15.75" customHeight="1">
      <c r="J1447" s="4"/>
      <c r="K1447" s="4"/>
    </row>
    <row r="1448" spans="10:11" ht="15.75" customHeight="1">
      <c r="J1448" s="4"/>
      <c r="K1448" s="4"/>
    </row>
    <row r="1449" spans="10:11" ht="15.75" customHeight="1">
      <c r="J1449" s="4"/>
      <c r="K1449" s="4"/>
    </row>
    <row r="1450" spans="10:11" ht="15.75" customHeight="1">
      <c r="J1450" s="4"/>
      <c r="K1450" s="4"/>
    </row>
    <row r="1451" spans="10:11" ht="15.75" customHeight="1">
      <c r="J1451" s="4"/>
      <c r="K1451" s="4"/>
    </row>
    <row r="1452" spans="10:11" ht="15.75" customHeight="1">
      <c r="J1452" s="4"/>
      <c r="K1452" s="4"/>
    </row>
    <row r="1453" spans="10:11" ht="15.75" customHeight="1">
      <c r="J1453" s="4"/>
      <c r="K1453" s="4"/>
    </row>
    <row r="1454" spans="10:11" ht="15.75" customHeight="1">
      <c r="J1454" s="4"/>
      <c r="K1454" s="4"/>
    </row>
    <row r="1455" spans="10:11" ht="15.75" customHeight="1">
      <c r="J1455" s="4"/>
      <c r="K1455" s="4"/>
    </row>
    <row r="1456" spans="10:11" ht="15.75" customHeight="1">
      <c r="J1456" s="4"/>
      <c r="K1456" s="4"/>
    </row>
    <row r="1457" spans="10:11" ht="15.75" customHeight="1">
      <c r="J1457" s="4"/>
      <c r="K1457" s="4"/>
    </row>
    <row r="1458" spans="10:11" ht="15.75" customHeight="1">
      <c r="J1458" s="4"/>
      <c r="K1458" s="4"/>
    </row>
    <row r="1459" spans="10:11" ht="15.75" customHeight="1">
      <c r="J1459" s="4"/>
      <c r="K1459" s="4"/>
    </row>
    <row r="1460" spans="10:11" ht="15.75" customHeight="1">
      <c r="J1460" s="4"/>
      <c r="K1460" s="4"/>
    </row>
    <row r="1461" spans="10:11" ht="15.75" customHeight="1">
      <c r="J1461" s="4"/>
      <c r="K1461" s="4"/>
    </row>
    <row r="1462" spans="10:11" ht="15.75" customHeight="1">
      <c r="J1462" s="4"/>
      <c r="K1462" s="4"/>
    </row>
    <row r="1463" spans="10:11" ht="15.75" customHeight="1">
      <c r="J1463" s="4"/>
      <c r="K1463" s="4"/>
    </row>
    <row r="1464" spans="10:11" ht="15.75" customHeight="1">
      <c r="J1464" s="4"/>
      <c r="K1464" s="4"/>
    </row>
    <row r="1465" spans="10:11" ht="15.75" customHeight="1">
      <c r="J1465" s="4"/>
      <c r="K1465" s="4"/>
    </row>
    <row r="1466" spans="10:11" ht="15.75" customHeight="1">
      <c r="J1466" s="4"/>
      <c r="K1466" s="4"/>
    </row>
    <row r="1467" spans="10:11" ht="15.75" customHeight="1">
      <c r="J1467" s="4"/>
      <c r="K1467" s="4"/>
    </row>
    <row r="1468" spans="10:11" ht="15.75" customHeight="1">
      <c r="J1468" s="4"/>
      <c r="K1468" s="4"/>
    </row>
    <row r="1469" spans="10:11" ht="15.75" customHeight="1">
      <c r="J1469" s="4"/>
      <c r="K1469" s="4"/>
    </row>
    <row r="1470" spans="10:11" ht="15.75" customHeight="1">
      <c r="J1470" s="4"/>
      <c r="K1470" s="4"/>
    </row>
    <row r="1471" spans="10:11" ht="15.75" customHeight="1">
      <c r="J1471" s="4"/>
      <c r="K1471" s="4"/>
    </row>
    <row r="1472" spans="10:11" ht="15.75" customHeight="1">
      <c r="J1472" s="4"/>
      <c r="K1472" s="4"/>
    </row>
    <row r="1473" spans="10:11" ht="15.75" customHeight="1">
      <c r="J1473" s="4"/>
      <c r="K1473" s="4"/>
    </row>
    <row r="1474" spans="10:11" ht="15.75" customHeight="1">
      <c r="J1474" s="4"/>
      <c r="K1474" s="4"/>
    </row>
    <row r="1475" spans="10:11" ht="15.75" customHeight="1">
      <c r="J1475" s="4"/>
      <c r="K1475" s="4"/>
    </row>
    <row r="1476" spans="10:11" ht="15.75" customHeight="1">
      <c r="J1476" s="4"/>
      <c r="K1476" s="4"/>
    </row>
    <row r="1477" spans="10:11" ht="15.75" customHeight="1">
      <c r="J1477" s="4"/>
      <c r="K1477" s="4"/>
    </row>
    <row r="1478" spans="10:11" ht="15.75" customHeight="1">
      <c r="J1478" s="4"/>
      <c r="K1478" s="4"/>
    </row>
    <row r="1479" spans="10:11" ht="15.75" customHeight="1">
      <c r="J1479" s="4"/>
      <c r="K1479" s="4"/>
    </row>
    <row r="1480" spans="10:11" ht="15.75" customHeight="1">
      <c r="J1480" s="4"/>
      <c r="K1480" s="4"/>
    </row>
    <row r="1481" spans="10:11" ht="15.75" customHeight="1">
      <c r="J1481" s="4"/>
      <c r="K1481" s="4"/>
    </row>
    <row r="1482" spans="10:11" ht="15.75" customHeight="1">
      <c r="J1482" s="4"/>
      <c r="K1482" s="4"/>
    </row>
    <row r="1483" spans="10:11" ht="15.75" customHeight="1">
      <c r="J1483" s="4"/>
      <c r="K1483" s="4"/>
    </row>
    <row r="1484" spans="10:11" ht="15.75" customHeight="1">
      <c r="J1484" s="4"/>
      <c r="K1484" s="4"/>
    </row>
    <row r="1485" spans="10:11" ht="15.75" customHeight="1">
      <c r="J1485" s="4"/>
      <c r="K1485" s="4"/>
    </row>
    <row r="1486" spans="10:11" ht="15.75" customHeight="1">
      <c r="J1486" s="4"/>
      <c r="K1486" s="4"/>
    </row>
    <row r="1487" spans="10:11" ht="15.75" customHeight="1">
      <c r="J1487" s="4"/>
      <c r="K1487" s="4"/>
    </row>
    <row r="1488" spans="10:11" ht="15.75" customHeight="1">
      <c r="J1488" s="4"/>
      <c r="K1488" s="4"/>
    </row>
    <row r="1489" spans="10:11" ht="15.75" customHeight="1">
      <c r="J1489" s="4"/>
      <c r="K1489" s="4"/>
    </row>
    <row r="1490" spans="10:11" ht="15.75" customHeight="1">
      <c r="J1490" s="4"/>
      <c r="K1490" s="4"/>
    </row>
    <row r="1491" spans="10:11" ht="15.75" customHeight="1">
      <c r="J1491" s="4"/>
      <c r="K1491" s="4"/>
    </row>
    <row r="1492" spans="10:11" ht="15.75" customHeight="1">
      <c r="J1492" s="4"/>
      <c r="K1492" s="4"/>
    </row>
    <row r="1493" spans="10:11" ht="15.75" customHeight="1">
      <c r="J1493" s="4"/>
      <c r="K1493" s="4"/>
    </row>
    <row r="1494" spans="10:11" ht="15.75" customHeight="1">
      <c r="J1494" s="4"/>
      <c r="K1494" s="4"/>
    </row>
    <row r="1495" spans="10:11" ht="15.75" customHeight="1">
      <c r="J1495" s="4"/>
      <c r="K1495" s="4"/>
    </row>
    <row r="1496" spans="10:11" ht="15.75" customHeight="1">
      <c r="J1496" s="4"/>
      <c r="K1496" s="4"/>
    </row>
    <row r="1497" spans="10:11" ht="15.75" customHeight="1">
      <c r="J1497" s="4"/>
      <c r="K1497" s="4"/>
    </row>
    <row r="1498" spans="10:11" ht="15.75" customHeight="1">
      <c r="J1498" s="4"/>
      <c r="K1498" s="4"/>
    </row>
    <row r="1499" spans="10:11" ht="15.75" customHeight="1">
      <c r="J1499" s="4"/>
      <c r="K1499" s="4"/>
    </row>
    <row r="1500" spans="10:11" ht="15.75" customHeight="1">
      <c r="J1500" s="4"/>
      <c r="K1500" s="4"/>
    </row>
    <row r="1501" spans="10:11" ht="15.75" customHeight="1">
      <c r="J1501" s="4"/>
      <c r="K1501" s="4"/>
    </row>
    <row r="1502" spans="10:11" ht="15.75" customHeight="1">
      <c r="J1502" s="4"/>
      <c r="K1502" s="4"/>
    </row>
    <row r="1503" spans="10:11" ht="15.75" customHeight="1">
      <c r="J1503" s="4"/>
      <c r="K1503" s="4"/>
    </row>
    <row r="1504" spans="10:11" ht="15.75" customHeight="1">
      <c r="J1504" s="4"/>
      <c r="K1504" s="4"/>
    </row>
    <row r="1505" spans="10:11" ht="15.75" customHeight="1">
      <c r="J1505" s="4"/>
      <c r="K1505" s="4"/>
    </row>
    <row r="1506" spans="10:11" ht="15.75" customHeight="1">
      <c r="J1506" s="4"/>
      <c r="K1506" s="4"/>
    </row>
    <row r="1507" spans="10:11" ht="15.75" customHeight="1">
      <c r="J1507" s="4"/>
      <c r="K1507" s="4"/>
    </row>
    <row r="1508" spans="10:11" ht="15.75" customHeight="1">
      <c r="J1508" s="4"/>
      <c r="K1508" s="4"/>
    </row>
    <row r="1509" spans="10:11" ht="15.75" customHeight="1">
      <c r="J1509" s="4"/>
      <c r="K1509" s="4"/>
    </row>
    <row r="1510" spans="10:11" ht="15.75" customHeight="1">
      <c r="J1510" s="4"/>
      <c r="K1510" s="4"/>
    </row>
    <row r="1511" spans="10:11" ht="15.75" customHeight="1">
      <c r="J1511" s="4"/>
      <c r="K1511" s="4"/>
    </row>
    <row r="1512" spans="10:11" ht="15.75" customHeight="1">
      <c r="J1512" s="4"/>
      <c r="K1512" s="4"/>
    </row>
    <row r="1513" spans="10:11" ht="15.75" customHeight="1">
      <c r="J1513" s="4"/>
      <c r="K1513" s="4"/>
    </row>
    <row r="1514" spans="10:11" ht="15.75" customHeight="1">
      <c r="J1514" s="4"/>
      <c r="K1514" s="4"/>
    </row>
    <row r="1515" spans="10:11" ht="15.75" customHeight="1">
      <c r="J1515" s="4"/>
      <c r="K1515" s="4"/>
    </row>
    <row r="1516" spans="10:11" ht="15.75" customHeight="1">
      <c r="J1516" s="4"/>
      <c r="K1516" s="4"/>
    </row>
    <row r="1517" spans="10:11" ht="15.75" customHeight="1">
      <c r="J1517" s="4"/>
      <c r="K1517" s="4"/>
    </row>
    <row r="1518" spans="10:11" ht="15.75" customHeight="1">
      <c r="J1518" s="4"/>
      <c r="K1518" s="4"/>
    </row>
    <row r="1519" spans="10:11" ht="15.75" customHeight="1">
      <c r="J1519" s="4"/>
      <c r="K1519" s="4"/>
    </row>
    <row r="1520" spans="10:11" ht="15.75" customHeight="1">
      <c r="J1520" s="4"/>
      <c r="K1520" s="4"/>
    </row>
    <row r="1521" spans="10:11" ht="15.75" customHeight="1">
      <c r="J1521" s="4"/>
      <c r="K1521" s="4"/>
    </row>
    <row r="1522" spans="10:11" ht="15.75" customHeight="1">
      <c r="J1522" s="4"/>
      <c r="K1522" s="4"/>
    </row>
    <row r="1523" spans="10:11" ht="15.75" customHeight="1">
      <c r="J1523" s="4"/>
      <c r="K1523" s="4"/>
    </row>
    <row r="1524" spans="10:11" ht="15.75" customHeight="1">
      <c r="J1524" s="4"/>
      <c r="K1524" s="4"/>
    </row>
    <row r="1525" spans="10:11" ht="15.75" customHeight="1">
      <c r="J1525" s="4"/>
      <c r="K1525" s="4"/>
    </row>
    <row r="1526" spans="10:11" ht="15.75" customHeight="1">
      <c r="J1526" s="4"/>
      <c r="K1526" s="4"/>
    </row>
    <row r="1527" spans="10:11" ht="15.75" customHeight="1">
      <c r="J1527" s="4"/>
      <c r="K1527" s="4"/>
    </row>
    <row r="1528" spans="10:11" ht="15.75" customHeight="1">
      <c r="J1528" s="4"/>
      <c r="K1528" s="4"/>
    </row>
    <row r="1529" spans="10:11" ht="15.75" customHeight="1">
      <c r="J1529" s="4"/>
      <c r="K1529" s="4"/>
    </row>
    <row r="1530" spans="10:11" ht="15.75" customHeight="1">
      <c r="J1530" s="4"/>
      <c r="K1530" s="4"/>
    </row>
    <row r="1531" spans="10:11" ht="15.75" customHeight="1">
      <c r="J1531" s="4"/>
      <c r="K1531" s="4"/>
    </row>
    <row r="1532" spans="10:11" ht="15.75" customHeight="1">
      <c r="J1532" s="4"/>
      <c r="K1532" s="4"/>
    </row>
    <row r="1533" spans="10:11" ht="15.75" customHeight="1">
      <c r="J1533" s="4"/>
      <c r="K1533" s="4"/>
    </row>
    <row r="1534" spans="10:11" ht="15.75" customHeight="1">
      <c r="J1534" s="4"/>
      <c r="K1534" s="4"/>
    </row>
    <row r="1535" spans="10:11" ht="15.75" customHeight="1">
      <c r="J1535" s="4"/>
      <c r="K1535" s="4"/>
    </row>
    <row r="1536" spans="10:11" ht="15.75" customHeight="1">
      <c r="J1536" s="4"/>
      <c r="K1536" s="4"/>
    </row>
    <row r="1537" spans="10:11" ht="15.75" customHeight="1">
      <c r="J1537" s="4"/>
      <c r="K1537" s="4"/>
    </row>
    <row r="1538" spans="10:11" ht="15.75" customHeight="1">
      <c r="J1538" s="4"/>
      <c r="K1538" s="4"/>
    </row>
    <row r="1539" spans="10:11" ht="15.75" customHeight="1">
      <c r="J1539" s="4"/>
      <c r="K1539" s="4"/>
    </row>
    <row r="1540" spans="10:11" ht="15.75" customHeight="1">
      <c r="J1540" s="4"/>
      <c r="K1540" s="4"/>
    </row>
    <row r="1541" spans="10:11" ht="15.75" customHeight="1">
      <c r="J1541" s="4"/>
      <c r="K1541" s="4"/>
    </row>
    <row r="1542" spans="10:11" ht="15.75" customHeight="1">
      <c r="J1542" s="4"/>
      <c r="K1542" s="4"/>
    </row>
    <row r="1543" spans="10:11" ht="15.75" customHeight="1">
      <c r="J1543" s="4"/>
      <c r="K1543" s="4"/>
    </row>
    <row r="1544" spans="10:11" ht="15.75" customHeight="1">
      <c r="J1544" s="4"/>
      <c r="K1544" s="4"/>
    </row>
    <row r="1545" spans="10:11" ht="15.75" customHeight="1">
      <c r="J1545" s="4"/>
      <c r="K1545" s="4"/>
    </row>
    <row r="1546" spans="10:11" ht="15.75" customHeight="1">
      <c r="J1546" s="4"/>
      <c r="K1546" s="4"/>
    </row>
    <row r="1547" spans="10:11" ht="15.75" customHeight="1">
      <c r="J1547" s="4"/>
      <c r="K1547" s="4"/>
    </row>
    <row r="1548" spans="10:11" ht="15.75" customHeight="1">
      <c r="J1548" s="4"/>
      <c r="K1548" s="4"/>
    </row>
    <row r="1549" spans="10:11" ht="15.75" customHeight="1">
      <c r="J1549" s="4"/>
      <c r="K1549" s="4"/>
    </row>
    <row r="1550" spans="10:11" ht="15.75" customHeight="1">
      <c r="J1550" s="4"/>
      <c r="K1550" s="4"/>
    </row>
    <row r="1551" spans="10:11" ht="15.75" customHeight="1">
      <c r="J1551" s="4"/>
      <c r="K1551" s="4"/>
    </row>
    <row r="1552" spans="10:11" ht="15.75" customHeight="1">
      <c r="J1552" s="4"/>
      <c r="K1552" s="4"/>
    </row>
    <row r="1553" spans="10:11" ht="15.75" customHeight="1">
      <c r="J1553" s="4"/>
      <c r="K1553" s="4"/>
    </row>
    <row r="1554" spans="10:11" ht="15.75" customHeight="1">
      <c r="J1554" s="4"/>
      <c r="K1554" s="4"/>
    </row>
    <row r="1555" spans="10:11" ht="15.75" customHeight="1">
      <c r="J1555" s="4"/>
      <c r="K1555" s="4"/>
    </row>
    <row r="1556" spans="10:11" ht="15.75" customHeight="1">
      <c r="J1556" s="4"/>
      <c r="K1556" s="4"/>
    </row>
    <row r="1557" spans="10:11" ht="15.75" customHeight="1">
      <c r="J1557" s="4"/>
      <c r="K1557" s="4"/>
    </row>
    <row r="1558" spans="10:11" ht="15.75" customHeight="1">
      <c r="J1558" s="4"/>
      <c r="K1558" s="4"/>
    </row>
    <row r="1559" spans="10:11" ht="15.75" customHeight="1">
      <c r="J1559" s="4"/>
      <c r="K1559" s="4"/>
    </row>
    <row r="1560" spans="10:11" ht="15.75" customHeight="1">
      <c r="J1560" s="4"/>
      <c r="K1560" s="4"/>
    </row>
    <row r="1561" spans="10:11" ht="15.75" customHeight="1">
      <c r="J1561" s="4"/>
      <c r="K1561" s="4"/>
    </row>
    <row r="1562" spans="10:11" ht="15.75" customHeight="1">
      <c r="J1562" s="4"/>
      <c r="K1562" s="4"/>
    </row>
    <row r="1563" spans="10:11" ht="15.75" customHeight="1">
      <c r="J1563" s="4"/>
      <c r="K1563" s="4"/>
    </row>
    <row r="1564" spans="10:11" ht="15.75" customHeight="1">
      <c r="J1564" s="4"/>
      <c r="K1564" s="4"/>
    </row>
    <row r="1565" spans="10:11" ht="15.75" customHeight="1">
      <c r="J1565" s="4"/>
      <c r="K1565" s="4"/>
    </row>
    <row r="1566" spans="10:11" ht="15.75" customHeight="1">
      <c r="J1566" s="4"/>
      <c r="K1566" s="4"/>
    </row>
    <row r="1567" spans="10:11" ht="15.75" customHeight="1">
      <c r="J1567" s="4"/>
      <c r="K1567" s="4"/>
    </row>
    <row r="1568" spans="10:11" ht="15.75" customHeight="1">
      <c r="J1568" s="4"/>
      <c r="K1568" s="4"/>
    </row>
    <row r="1569" spans="10:11" ht="15.75" customHeight="1">
      <c r="J1569" s="4"/>
      <c r="K1569" s="4"/>
    </row>
    <row r="1570" spans="10:11" ht="15.75" customHeight="1">
      <c r="J1570" s="4"/>
      <c r="K1570" s="4"/>
    </row>
    <row r="1571" spans="10:11" ht="15.75" customHeight="1">
      <c r="J1571" s="4"/>
      <c r="K1571" s="4"/>
    </row>
    <row r="1572" spans="10:11" ht="15.75" customHeight="1">
      <c r="J1572" s="4"/>
      <c r="K1572" s="4"/>
    </row>
    <row r="1573" spans="10:11" ht="15.75" customHeight="1">
      <c r="J1573" s="4"/>
      <c r="K1573" s="4"/>
    </row>
    <row r="1574" spans="10:11" ht="15.75" customHeight="1">
      <c r="J1574" s="4"/>
      <c r="K1574" s="4"/>
    </row>
    <row r="1575" spans="10:11" ht="15.75" customHeight="1">
      <c r="J1575" s="4"/>
      <c r="K1575" s="4"/>
    </row>
    <row r="1576" spans="10:11" ht="15.75" customHeight="1">
      <c r="J1576" s="4"/>
      <c r="K1576" s="4"/>
    </row>
    <row r="1577" spans="10:11" ht="15.75" customHeight="1">
      <c r="J1577" s="4"/>
      <c r="K1577" s="4"/>
    </row>
    <row r="1578" spans="10:11" ht="15.75" customHeight="1">
      <c r="J1578" s="4"/>
      <c r="K1578" s="4"/>
    </row>
    <row r="1579" spans="10:11" ht="15.75" customHeight="1">
      <c r="J1579" s="4"/>
      <c r="K1579" s="4"/>
    </row>
    <row r="1580" spans="10:11" ht="15.75" customHeight="1">
      <c r="J1580" s="4"/>
      <c r="K1580" s="4"/>
    </row>
    <row r="1581" spans="10:11" ht="15.75" customHeight="1">
      <c r="J1581" s="4"/>
      <c r="K1581" s="4"/>
    </row>
    <row r="1582" spans="10:11" ht="15.75" customHeight="1">
      <c r="J1582" s="4"/>
      <c r="K1582" s="4"/>
    </row>
    <row r="1583" spans="10:11" ht="15.75" customHeight="1">
      <c r="J1583" s="4"/>
      <c r="K1583" s="4"/>
    </row>
    <row r="1584" spans="10:11" ht="15.75" customHeight="1">
      <c r="J1584" s="4"/>
      <c r="K1584" s="4"/>
    </row>
    <row r="1585" spans="10:11" ht="15.75" customHeight="1">
      <c r="J1585" s="4"/>
      <c r="K1585" s="4"/>
    </row>
    <row r="1586" spans="10:11" ht="15.75" customHeight="1">
      <c r="J1586" s="4"/>
      <c r="K1586" s="4"/>
    </row>
    <row r="1587" spans="10:11" ht="15.75" customHeight="1">
      <c r="J1587" s="4"/>
      <c r="K1587" s="4"/>
    </row>
    <row r="1588" spans="10:11" ht="15.75" customHeight="1">
      <c r="J1588" s="4"/>
      <c r="K1588" s="4"/>
    </row>
    <row r="1589" spans="10:11" ht="15.75" customHeight="1">
      <c r="J1589" s="4"/>
      <c r="K1589" s="4"/>
    </row>
    <row r="1590" spans="10:11" ht="15.75" customHeight="1">
      <c r="J1590" s="4"/>
      <c r="K1590" s="4"/>
    </row>
    <row r="1591" spans="10:11" ht="15.75" customHeight="1">
      <c r="J1591" s="4"/>
      <c r="K1591" s="4"/>
    </row>
    <row r="1592" spans="10:11" ht="15.75" customHeight="1">
      <c r="J1592" s="4"/>
      <c r="K1592" s="4"/>
    </row>
    <row r="1593" spans="10:11" ht="15.75" customHeight="1">
      <c r="J1593" s="4"/>
      <c r="K1593" s="4"/>
    </row>
    <row r="1594" spans="10:11" ht="15.75" customHeight="1">
      <c r="J1594" s="4"/>
      <c r="K1594" s="4"/>
    </row>
    <row r="1595" spans="10:11" ht="15.75" customHeight="1">
      <c r="J1595" s="4"/>
      <c r="K1595" s="4"/>
    </row>
    <row r="1596" spans="10:11" ht="15.75" customHeight="1">
      <c r="J1596" s="4"/>
      <c r="K1596" s="4"/>
    </row>
    <row r="1597" spans="10:11" ht="15.75" customHeight="1">
      <c r="J1597" s="4"/>
      <c r="K1597" s="4"/>
    </row>
    <row r="1598" spans="10:11" ht="15.75" customHeight="1">
      <c r="J1598" s="4"/>
      <c r="K1598" s="4"/>
    </row>
    <row r="1599" spans="10:11" ht="15.75" customHeight="1">
      <c r="J1599" s="4"/>
      <c r="K1599" s="4"/>
    </row>
    <row r="1600" spans="10:11" ht="15.75" customHeight="1">
      <c r="J1600" s="4"/>
      <c r="K1600" s="4"/>
    </row>
    <row r="1601" spans="10:11" ht="15.75" customHeight="1">
      <c r="J1601" s="4"/>
      <c r="K1601" s="4"/>
    </row>
    <row r="1602" spans="10:11" ht="15.75" customHeight="1">
      <c r="J1602" s="4"/>
      <c r="K1602" s="4"/>
    </row>
    <row r="1603" spans="10:11" ht="15.75" customHeight="1">
      <c r="J1603" s="4"/>
      <c r="K1603" s="4"/>
    </row>
    <row r="1604" spans="10:11" ht="15.75" customHeight="1">
      <c r="J1604" s="4"/>
      <c r="K1604" s="4"/>
    </row>
    <row r="1605" spans="10:11" ht="15.75" customHeight="1">
      <c r="J1605" s="4"/>
      <c r="K1605" s="4"/>
    </row>
    <row r="1606" spans="10:11" ht="15.75" customHeight="1">
      <c r="J1606" s="4"/>
      <c r="K1606" s="4"/>
    </row>
    <row r="1607" spans="10:11" ht="15.75" customHeight="1">
      <c r="J1607" s="4"/>
      <c r="K1607" s="4"/>
    </row>
    <row r="1608" spans="10:11" ht="15.75" customHeight="1">
      <c r="J1608" s="4"/>
      <c r="K1608" s="4"/>
    </row>
    <row r="1609" spans="10:11" ht="15.75" customHeight="1">
      <c r="J1609" s="4"/>
      <c r="K1609" s="4"/>
    </row>
    <row r="1610" spans="10:11" ht="15.75" customHeight="1">
      <c r="J1610" s="4"/>
      <c r="K1610" s="4"/>
    </row>
    <row r="1611" spans="10:11" ht="15.75" customHeight="1">
      <c r="J1611" s="4"/>
      <c r="K1611" s="4"/>
    </row>
    <row r="1612" spans="10:11" ht="15.75" customHeight="1">
      <c r="J1612" s="4"/>
      <c r="K1612" s="4"/>
    </row>
    <row r="1613" spans="10:11" ht="15.75" customHeight="1">
      <c r="J1613" s="4"/>
      <c r="K1613" s="4"/>
    </row>
    <row r="1614" spans="10:11" ht="15.75" customHeight="1">
      <c r="J1614" s="4"/>
      <c r="K1614" s="4"/>
    </row>
    <row r="1615" spans="10:11" ht="15.75" customHeight="1">
      <c r="J1615" s="4"/>
      <c r="K1615" s="4"/>
    </row>
    <row r="1616" spans="10:11" ht="15.75" customHeight="1">
      <c r="J1616" s="4"/>
      <c r="K1616" s="4"/>
    </row>
    <row r="1617" spans="10:11" ht="15.75" customHeight="1">
      <c r="J1617" s="4"/>
      <c r="K1617" s="4"/>
    </row>
    <row r="1618" spans="10:11" ht="15.75" customHeight="1">
      <c r="J1618" s="4"/>
      <c r="K1618" s="4"/>
    </row>
    <row r="1619" spans="10:11" ht="15.75" customHeight="1">
      <c r="J1619" s="4"/>
      <c r="K1619" s="4"/>
    </row>
    <row r="1620" spans="10:11" ht="15.75" customHeight="1">
      <c r="J1620" s="4"/>
      <c r="K1620" s="4"/>
    </row>
    <row r="1621" spans="10:11" ht="15.75" customHeight="1">
      <c r="J1621" s="4"/>
      <c r="K1621" s="4"/>
    </row>
    <row r="1622" spans="10:11" ht="15.75" customHeight="1">
      <c r="J1622" s="4"/>
      <c r="K1622" s="4"/>
    </row>
    <row r="1623" spans="10:11" ht="15.75" customHeight="1">
      <c r="J1623" s="4"/>
      <c r="K1623" s="4"/>
    </row>
    <row r="1624" spans="10:11" ht="15.75" customHeight="1">
      <c r="J1624" s="4"/>
      <c r="K1624" s="4"/>
    </row>
    <row r="1625" spans="10:11" ht="15.75" customHeight="1">
      <c r="J1625" s="4"/>
      <c r="K1625" s="4"/>
    </row>
    <row r="1626" spans="10:11" ht="15.75" customHeight="1">
      <c r="J1626" s="4"/>
      <c r="K1626" s="4"/>
    </row>
    <row r="1627" spans="10:11" ht="15.75" customHeight="1">
      <c r="J1627" s="4"/>
      <c r="K1627" s="4"/>
    </row>
    <row r="1628" spans="10:11" ht="15.75" customHeight="1">
      <c r="J1628" s="4"/>
      <c r="K1628" s="4"/>
    </row>
    <row r="1629" spans="10:11" ht="15.75" customHeight="1">
      <c r="J1629" s="4"/>
      <c r="K1629" s="4"/>
    </row>
    <row r="1630" spans="10:11" ht="15.75" customHeight="1">
      <c r="J1630" s="4"/>
      <c r="K1630" s="4"/>
    </row>
    <row r="1631" spans="10:11" ht="15.75" customHeight="1">
      <c r="J1631" s="4"/>
      <c r="K1631" s="4"/>
    </row>
    <row r="1632" spans="10:11" ht="15.75" customHeight="1">
      <c r="J1632" s="4"/>
      <c r="K1632" s="4"/>
    </row>
    <row r="1633" spans="10:11" ht="15.75" customHeight="1">
      <c r="J1633" s="4"/>
      <c r="K1633" s="4"/>
    </row>
    <row r="1634" spans="10:11" ht="15.75" customHeight="1">
      <c r="J1634" s="4"/>
      <c r="K1634" s="4"/>
    </row>
    <row r="1635" spans="10:11" ht="15.75" customHeight="1">
      <c r="J1635" s="4"/>
      <c r="K1635" s="4"/>
    </row>
    <row r="1636" spans="10:11" ht="15.75" customHeight="1">
      <c r="J1636" s="4"/>
      <c r="K1636" s="4"/>
    </row>
    <row r="1637" spans="10:11" ht="15.75" customHeight="1">
      <c r="J1637" s="4"/>
      <c r="K1637" s="4"/>
    </row>
    <row r="1638" spans="10:11" ht="15.75" customHeight="1">
      <c r="J1638" s="4"/>
      <c r="K1638" s="4"/>
    </row>
    <row r="1639" spans="10:11" ht="15.75" customHeight="1">
      <c r="J1639" s="4"/>
      <c r="K1639" s="4"/>
    </row>
    <row r="1640" spans="10:11" ht="15.75" customHeight="1">
      <c r="J1640" s="4"/>
      <c r="K1640" s="4"/>
    </row>
    <row r="1641" spans="10:11" ht="15.75" customHeight="1">
      <c r="J1641" s="4"/>
      <c r="K1641" s="4"/>
    </row>
    <row r="1642" spans="10:11" ht="15.75" customHeight="1">
      <c r="J1642" s="4"/>
      <c r="K1642" s="4"/>
    </row>
    <row r="1643" spans="10:11" ht="15.75" customHeight="1">
      <c r="J1643" s="4"/>
      <c r="K1643" s="4"/>
    </row>
    <row r="1644" spans="10:11" ht="15.75" customHeight="1">
      <c r="J1644" s="4"/>
      <c r="K1644" s="4"/>
    </row>
    <row r="1645" spans="10:11" ht="15.75" customHeight="1">
      <c r="J1645" s="4"/>
      <c r="K1645" s="4"/>
    </row>
    <row r="1646" spans="10:11" ht="15.75" customHeight="1">
      <c r="J1646" s="4"/>
      <c r="K1646" s="4"/>
    </row>
    <row r="1647" spans="10:11" ht="15.75" customHeight="1">
      <c r="J1647" s="4"/>
      <c r="K1647" s="4"/>
    </row>
    <row r="1648" spans="10:11" ht="15.75" customHeight="1">
      <c r="J1648" s="4"/>
      <c r="K1648" s="4"/>
    </row>
    <row r="1649" spans="10:11" ht="15.75" customHeight="1">
      <c r="J1649" s="4"/>
      <c r="K1649" s="4"/>
    </row>
    <row r="1650" spans="10:11" ht="15.75" customHeight="1">
      <c r="J1650" s="4"/>
      <c r="K1650" s="4"/>
    </row>
    <row r="1651" spans="10:11" ht="15.75" customHeight="1">
      <c r="J1651" s="4"/>
      <c r="K1651" s="4"/>
    </row>
    <row r="1652" spans="10:11" ht="15.75" customHeight="1">
      <c r="J1652" s="4"/>
      <c r="K1652" s="4"/>
    </row>
    <row r="1653" spans="10:11" ht="15.75" customHeight="1">
      <c r="J1653" s="4"/>
      <c r="K1653" s="4"/>
    </row>
    <row r="1654" spans="10:11" ht="15.75" customHeight="1">
      <c r="J1654" s="4"/>
      <c r="K1654" s="4"/>
    </row>
    <row r="1655" spans="10:11" ht="15.75" customHeight="1">
      <c r="J1655" s="4"/>
      <c r="K1655" s="4"/>
    </row>
    <row r="1656" spans="10:11" ht="15.75" customHeight="1">
      <c r="J1656" s="4"/>
      <c r="K1656" s="4"/>
    </row>
    <row r="1657" spans="10:11" ht="15.75" customHeight="1">
      <c r="J1657" s="4"/>
      <c r="K1657" s="4"/>
    </row>
    <row r="1658" spans="10:11" ht="15.75" customHeight="1">
      <c r="J1658" s="4"/>
      <c r="K1658" s="4"/>
    </row>
    <row r="1659" spans="10:11" ht="15.75" customHeight="1">
      <c r="J1659" s="4"/>
      <c r="K1659" s="4"/>
    </row>
    <row r="1660" spans="10:11" ht="15.75" customHeight="1">
      <c r="J1660" s="4"/>
      <c r="K1660" s="4"/>
    </row>
    <row r="1661" spans="10:11" ht="15.75" customHeight="1">
      <c r="J1661" s="4"/>
      <c r="K1661" s="4"/>
    </row>
    <row r="1662" spans="10:11" ht="15.75" customHeight="1">
      <c r="J1662" s="4"/>
      <c r="K1662" s="4"/>
    </row>
    <row r="1663" spans="10:11" ht="15.75" customHeight="1">
      <c r="J1663" s="4"/>
      <c r="K1663" s="4"/>
    </row>
    <row r="1664" spans="10:11" ht="15.75" customHeight="1">
      <c r="J1664" s="4"/>
      <c r="K1664" s="4"/>
    </row>
    <row r="1665" spans="10:11" ht="15.75" customHeight="1">
      <c r="J1665" s="4"/>
      <c r="K1665" s="4"/>
    </row>
    <row r="1666" spans="10:11" ht="15.75" customHeight="1">
      <c r="J1666" s="4"/>
      <c r="K1666" s="4"/>
    </row>
    <row r="1667" spans="10:11" ht="15.75" customHeight="1">
      <c r="J1667" s="4"/>
      <c r="K1667" s="4"/>
    </row>
    <row r="1668" spans="10:11" ht="15.75" customHeight="1">
      <c r="J1668" s="4"/>
      <c r="K1668" s="4"/>
    </row>
    <row r="1669" spans="10:11" ht="15.75" customHeight="1">
      <c r="J1669" s="4"/>
      <c r="K1669" s="4"/>
    </row>
    <row r="1670" spans="10:11" ht="15.75" customHeight="1">
      <c r="J1670" s="4"/>
      <c r="K1670" s="4"/>
    </row>
    <row r="1671" spans="10:11" ht="15.75" customHeight="1">
      <c r="J1671" s="4"/>
      <c r="K1671" s="4"/>
    </row>
    <row r="1672" spans="10:11" ht="15.75" customHeight="1">
      <c r="J1672" s="4"/>
      <c r="K1672" s="4"/>
    </row>
    <row r="1673" spans="10:11" ht="15.75" customHeight="1">
      <c r="J1673" s="4"/>
      <c r="K1673" s="4"/>
    </row>
    <row r="1674" spans="10:11" ht="15.75" customHeight="1">
      <c r="J1674" s="4"/>
      <c r="K1674" s="4"/>
    </row>
    <row r="1675" spans="10:11" ht="15.75" customHeight="1">
      <c r="J1675" s="4"/>
      <c r="K1675" s="4"/>
    </row>
    <row r="1676" spans="10:11" ht="15.75" customHeight="1">
      <c r="J1676" s="4"/>
      <c r="K1676" s="4"/>
    </row>
    <row r="1677" spans="10:11" ht="15.75" customHeight="1">
      <c r="J1677" s="4"/>
      <c r="K1677" s="4"/>
    </row>
    <row r="1678" spans="10:11" ht="15.75" customHeight="1">
      <c r="J1678" s="4"/>
      <c r="K1678" s="4"/>
    </row>
    <row r="1679" spans="10:11" ht="15.75" customHeight="1">
      <c r="J1679" s="4"/>
      <c r="K1679" s="4"/>
    </row>
    <row r="1680" spans="10:11" ht="15.75" customHeight="1">
      <c r="J1680" s="4"/>
      <c r="K1680" s="4"/>
    </row>
    <row r="1681" spans="10:11" ht="15.75" customHeight="1">
      <c r="J1681" s="4"/>
      <c r="K1681" s="4"/>
    </row>
    <row r="1682" spans="10:11" ht="15.75" customHeight="1">
      <c r="J1682" s="4"/>
      <c r="K1682" s="4"/>
    </row>
    <row r="1683" spans="10:11" ht="15.75" customHeight="1">
      <c r="J1683" s="4"/>
      <c r="K1683" s="4"/>
    </row>
    <row r="1684" spans="10:11" ht="15.75" customHeight="1">
      <c r="J1684" s="4"/>
      <c r="K1684" s="4"/>
    </row>
    <row r="1685" spans="10:11" ht="15.75" customHeight="1">
      <c r="J1685" s="4"/>
      <c r="K1685" s="4"/>
    </row>
    <row r="1686" spans="10:11" ht="15.75" customHeight="1">
      <c r="J1686" s="4"/>
      <c r="K1686" s="4"/>
    </row>
    <row r="1687" spans="10:11" ht="15.75" customHeight="1">
      <c r="J1687" s="4"/>
      <c r="K1687" s="4"/>
    </row>
    <row r="1688" spans="10:11" ht="15.75" customHeight="1">
      <c r="J1688" s="4"/>
      <c r="K1688" s="4"/>
    </row>
    <row r="1689" spans="10:11" ht="15.75" customHeight="1">
      <c r="J1689" s="4"/>
      <c r="K1689" s="4"/>
    </row>
    <row r="1690" spans="10:11" ht="15.75" customHeight="1">
      <c r="J1690" s="4"/>
      <c r="K1690" s="4"/>
    </row>
    <row r="1691" spans="10:11" ht="15.75" customHeight="1">
      <c r="J1691" s="4"/>
      <c r="K1691" s="4"/>
    </row>
    <row r="1692" spans="10:11" ht="15.75" customHeight="1">
      <c r="J1692" s="4"/>
      <c r="K1692" s="4"/>
    </row>
    <row r="1693" spans="10:11" ht="15.75" customHeight="1">
      <c r="J1693" s="4"/>
      <c r="K1693" s="4"/>
    </row>
    <row r="1694" spans="10:11" ht="15.75" customHeight="1">
      <c r="J1694" s="4"/>
      <c r="K1694" s="4"/>
    </row>
    <row r="1695" spans="10:11" ht="15.75" customHeight="1">
      <c r="J1695" s="4"/>
      <c r="K1695" s="4"/>
    </row>
    <row r="1696" spans="10:11" ht="15.75" customHeight="1">
      <c r="J1696" s="4"/>
      <c r="K1696" s="4"/>
    </row>
    <row r="1697" spans="10:11" ht="15.75" customHeight="1">
      <c r="J1697" s="4"/>
      <c r="K1697" s="4"/>
    </row>
    <row r="1698" spans="10:11" ht="15.75" customHeight="1">
      <c r="J1698" s="4"/>
      <c r="K1698" s="4"/>
    </row>
    <row r="1699" spans="10:11" ht="15.75" customHeight="1">
      <c r="J1699" s="4"/>
      <c r="K1699" s="4"/>
    </row>
    <row r="1700" spans="10:11" ht="15.75" customHeight="1">
      <c r="J1700" s="4"/>
      <c r="K1700" s="4"/>
    </row>
    <row r="1701" spans="10:11" ht="15.75" customHeight="1">
      <c r="J1701" s="4"/>
      <c r="K1701" s="4"/>
    </row>
    <row r="1702" spans="10:11" ht="15.75" customHeight="1">
      <c r="J1702" s="4"/>
      <c r="K1702" s="4"/>
    </row>
    <row r="1703" spans="10:11" ht="15.75" customHeight="1">
      <c r="J1703" s="4"/>
      <c r="K1703" s="4"/>
    </row>
    <row r="1704" spans="10:11" ht="15.75" customHeight="1">
      <c r="J1704" s="4"/>
      <c r="K1704" s="4"/>
    </row>
    <row r="1705" spans="10:11" ht="15.75" customHeight="1">
      <c r="J1705" s="4"/>
      <c r="K1705" s="4"/>
    </row>
    <row r="1706" spans="10:11" ht="15.75" customHeight="1">
      <c r="J1706" s="4"/>
      <c r="K1706" s="4"/>
    </row>
    <row r="1707" spans="10:11" ht="15.75" customHeight="1">
      <c r="J1707" s="4"/>
      <c r="K1707" s="4"/>
    </row>
    <row r="1708" spans="10:11" ht="15.75" customHeight="1">
      <c r="J1708" s="4"/>
      <c r="K1708" s="4"/>
    </row>
    <row r="1709" spans="10:11" ht="15.75" customHeight="1">
      <c r="J1709" s="4"/>
      <c r="K1709" s="4"/>
    </row>
    <row r="1710" spans="10:11" ht="15.75" customHeight="1">
      <c r="J1710" s="4"/>
      <c r="K1710" s="4"/>
    </row>
    <row r="1711" spans="10:11" ht="15.75" customHeight="1">
      <c r="J1711" s="4"/>
      <c r="K1711" s="4"/>
    </row>
    <row r="1712" spans="10:11" ht="15.75" customHeight="1">
      <c r="J1712" s="4"/>
      <c r="K1712" s="4"/>
    </row>
    <row r="1713" spans="10:11" ht="15.75" customHeight="1">
      <c r="J1713" s="4"/>
      <c r="K1713" s="4"/>
    </row>
    <row r="1714" spans="10:11" ht="15.75" customHeight="1">
      <c r="J1714" s="4"/>
      <c r="K1714" s="4"/>
    </row>
    <row r="1715" spans="10:11" ht="15.75" customHeight="1">
      <c r="J1715" s="4"/>
      <c r="K1715" s="4"/>
    </row>
    <row r="1716" spans="10:11" ht="15.75" customHeight="1">
      <c r="J1716" s="4"/>
      <c r="K1716" s="4"/>
    </row>
    <row r="1717" spans="10:11" ht="15.75" customHeight="1">
      <c r="J1717" s="4"/>
      <c r="K1717" s="4"/>
    </row>
    <row r="1718" spans="10:11" ht="15.75" customHeight="1">
      <c r="J1718" s="4"/>
      <c r="K1718" s="4"/>
    </row>
    <row r="1719" spans="10:11" ht="15.75" customHeight="1">
      <c r="J1719" s="4"/>
      <c r="K1719" s="4"/>
    </row>
    <row r="1720" spans="10:11" ht="15.75" customHeight="1">
      <c r="J1720" s="4"/>
      <c r="K1720" s="4"/>
    </row>
    <row r="1721" spans="10:11" ht="15.75" customHeight="1">
      <c r="J1721" s="4"/>
      <c r="K1721" s="4"/>
    </row>
    <row r="1722" spans="10:11" ht="15.75" customHeight="1">
      <c r="J1722" s="4"/>
      <c r="K1722" s="4"/>
    </row>
    <row r="1723" spans="10:11" ht="15.75" customHeight="1">
      <c r="J1723" s="4"/>
      <c r="K1723" s="4"/>
    </row>
    <row r="1724" spans="10:11" ht="15.75" customHeight="1">
      <c r="J1724" s="4"/>
      <c r="K1724" s="4"/>
    </row>
    <row r="1725" spans="10:11" ht="15.75" customHeight="1">
      <c r="J1725" s="4"/>
      <c r="K1725" s="4"/>
    </row>
    <row r="1726" spans="10:11" ht="15.75" customHeight="1">
      <c r="J1726" s="4"/>
      <c r="K1726" s="4"/>
    </row>
    <row r="1727" spans="10:11" ht="15.75" customHeight="1">
      <c r="J1727" s="4"/>
      <c r="K1727" s="4"/>
    </row>
    <row r="1728" spans="10:11" ht="15.75" customHeight="1">
      <c r="J1728" s="4"/>
      <c r="K1728" s="4"/>
    </row>
    <row r="1729" spans="10:11" ht="15.75" customHeight="1">
      <c r="J1729" s="4"/>
      <c r="K1729" s="4"/>
    </row>
    <row r="1730" spans="10:11" ht="15.75" customHeight="1">
      <c r="J1730" s="4"/>
      <c r="K1730" s="4"/>
    </row>
    <row r="1731" spans="10:11" ht="15.75" customHeight="1">
      <c r="J1731" s="4"/>
      <c r="K1731" s="4"/>
    </row>
    <row r="1732" spans="10:11" ht="15.75" customHeight="1">
      <c r="J1732" s="4"/>
      <c r="K1732" s="4"/>
    </row>
    <row r="1733" spans="10:11" ht="15.75" customHeight="1">
      <c r="J1733" s="4"/>
      <c r="K1733" s="4"/>
    </row>
    <row r="1734" spans="10:11" ht="15.75" customHeight="1">
      <c r="J1734" s="4"/>
      <c r="K1734" s="4"/>
    </row>
    <row r="1735" spans="10:11" ht="15.75" customHeight="1">
      <c r="J1735" s="4"/>
      <c r="K1735" s="4"/>
    </row>
    <row r="1736" spans="10:11" ht="15.75" customHeight="1">
      <c r="J1736" s="4"/>
      <c r="K1736" s="4"/>
    </row>
    <row r="1737" spans="10:11" ht="15.75" customHeight="1">
      <c r="J1737" s="4"/>
      <c r="K1737" s="4"/>
    </row>
    <row r="1738" spans="10:11" ht="15.75" customHeight="1">
      <c r="J1738" s="4"/>
      <c r="K1738" s="4"/>
    </row>
    <row r="1739" spans="10:11" ht="15.75" customHeight="1">
      <c r="J1739" s="4"/>
      <c r="K1739" s="4"/>
    </row>
    <row r="1740" spans="10:11" ht="15.75" customHeight="1">
      <c r="J1740" s="4"/>
      <c r="K1740" s="4"/>
    </row>
    <row r="1741" spans="10:11" ht="15.75" customHeight="1">
      <c r="J1741" s="4"/>
      <c r="K1741" s="4"/>
    </row>
    <row r="1742" spans="10:11" ht="15.75" customHeight="1">
      <c r="J1742" s="4"/>
      <c r="K1742" s="4"/>
    </row>
    <row r="1743" spans="10:11" ht="15.75" customHeight="1">
      <c r="J1743" s="4"/>
      <c r="K1743" s="4"/>
    </row>
    <row r="1744" spans="10:11" ht="15.75" customHeight="1">
      <c r="J1744" s="4"/>
      <c r="K1744" s="4"/>
    </row>
    <row r="1745" spans="10:11" ht="15.75" customHeight="1">
      <c r="J1745" s="4"/>
      <c r="K1745" s="4"/>
    </row>
    <row r="1746" spans="10:11" ht="15.75" customHeight="1">
      <c r="J1746" s="4"/>
      <c r="K1746" s="4"/>
    </row>
    <row r="1747" spans="10:11" ht="15.75" customHeight="1">
      <c r="J1747" s="4"/>
      <c r="K1747" s="4"/>
    </row>
    <row r="1748" spans="10:11" ht="15.75" customHeight="1">
      <c r="J1748" s="4"/>
      <c r="K1748" s="4"/>
    </row>
    <row r="1749" spans="10:11" ht="15.75" customHeight="1">
      <c r="J1749" s="4"/>
      <c r="K1749" s="4"/>
    </row>
    <row r="1750" spans="10:11" ht="15.75" customHeight="1">
      <c r="J1750" s="4"/>
      <c r="K1750" s="4"/>
    </row>
    <row r="1751" spans="10:11" ht="15.75" customHeight="1">
      <c r="J1751" s="4"/>
      <c r="K1751" s="4"/>
    </row>
    <row r="1752" spans="10:11" ht="15.75" customHeight="1">
      <c r="J1752" s="4"/>
      <c r="K1752" s="4"/>
    </row>
    <row r="1753" spans="10:11" ht="15.75" customHeight="1">
      <c r="J1753" s="4"/>
      <c r="K1753" s="4"/>
    </row>
    <row r="1754" spans="10:11" ht="15.75" customHeight="1">
      <c r="J1754" s="4"/>
      <c r="K1754" s="4"/>
    </row>
    <row r="1755" spans="10:11" ht="15.75" customHeight="1">
      <c r="J1755" s="4"/>
      <c r="K1755" s="4"/>
    </row>
    <row r="1756" spans="10:11" ht="15.75" customHeight="1">
      <c r="J1756" s="4"/>
      <c r="K1756" s="4"/>
    </row>
    <row r="1757" spans="10:11" ht="15.75" customHeight="1">
      <c r="J1757" s="4"/>
      <c r="K1757" s="4"/>
    </row>
    <row r="1758" spans="10:11" ht="15.75" customHeight="1">
      <c r="J1758" s="4"/>
      <c r="K1758" s="4"/>
    </row>
    <row r="1759" spans="10:11" ht="15.75" customHeight="1">
      <c r="J1759" s="4"/>
      <c r="K1759" s="4"/>
    </row>
    <row r="1760" spans="10:11" ht="15.75" customHeight="1">
      <c r="J1760" s="4"/>
      <c r="K1760" s="4"/>
    </row>
    <row r="1761" spans="10:11" ht="15.75" customHeight="1">
      <c r="J1761" s="4"/>
      <c r="K1761" s="4"/>
    </row>
    <row r="1762" spans="10:11" ht="15.75" customHeight="1">
      <c r="J1762" s="4"/>
      <c r="K1762" s="4"/>
    </row>
    <row r="1763" spans="10:11" ht="15.75" customHeight="1">
      <c r="J1763" s="4"/>
      <c r="K1763" s="4"/>
    </row>
    <row r="1764" spans="10:11" ht="15.75" customHeight="1">
      <c r="J1764" s="4"/>
      <c r="K1764" s="4"/>
    </row>
    <row r="1765" spans="10:11" ht="15.75" customHeight="1">
      <c r="J1765" s="4"/>
      <c r="K1765" s="4"/>
    </row>
    <row r="1766" spans="10:11" ht="15.75" customHeight="1">
      <c r="J1766" s="4"/>
      <c r="K1766" s="4"/>
    </row>
    <row r="1767" spans="10:11" ht="15.75" customHeight="1">
      <c r="J1767" s="4"/>
      <c r="K1767" s="4"/>
    </row>
    <row r="1768" spans="10:11" ht="15.75" customHeight="1">
      <c r="J1768" s="4"/>
      <c r="K1768" s="4"/>
    </row>
    <row r="1769" spans="10:11" ht="15.75" customHeight="1">
      <c r="J1769" s="4"/>
      <c r="K1769" s="4"/>
    </row>
    <row r="1770" spans="10:11" ht="15.75" customHeight="1">
      <c r="J1770" s="4"/>
      <c r="K1770" s="4"/>
    </row>
    <row r="1771" spans="10:11" ht="15.75" customHeight="1">
      <c r="J1771" s="4"/>
      <c r="K1771" s="4"/>
    </row>
    <row r="1772" spans="10:11" ht="15.75" customHeight="1">
      <c r="J1772" s="4"/>
      <c r="K1772" s="4"/>
    </row>
    <row r="1773" spans="10:11" ht="15.75" customHeight="1">
      <c r="J1773" s="4"/>
      <c r="K1773" s="4"/>
    </row>
    <row r="1774" spans="10:11" ht="15.75" customHeight="1">
      <c r="J1774" s="4"/>
      <c r="K1774" s="4"/>
    </row>
    <row r="1775" spans="10:11" ht="15.75" customHeight="1">
      <c r="J1775" s="4"/>
      <c r="K1775" s="4"/>
    </row>
    <row r="1776" spans="10:11" ht="15.75" customHeight="1">
      <c r="J1776" s="4"/>
      <c r="K1776" s="4"/>
    </row>
    <row r="1777" spans="10:11" ht="15.75" customHeight="1">
      <c r="J1777" s="4"/>
      <c r="K1777" s="4"/>
    </row>
    <row r="1778" spans="10:11" ht="15.75" customHeight="1">
      <c r="J1778" s="4"/>
      <c r="K1778" s="4"/>
    </row>
    <row r="1779" spans="10:11" ht="15.75" customHeight="1">
      <c r="J1779" s="4"/>
      <c r="K1779" s="4"/>
    </row>
    <row r="1780" spans="10:11" ht="15.75" customHeight="1">
      <c r="J1780" s="4"/>
      <c r="K1780" s="4"/>
    </row>
    <row r="1781" spans="10:11" ht="15.75" customHeight="1">
      <c r="J1781" s="4"/>
      <c r="K1781" s="4"/>
    </row>
    <row r="1782" spans="10:11" ht="15.75" customHeight="1">
      <c r="J1782" s="4"/>
      <c r="K1782" s="4"/>
    </row>
    <row r="1783" spans="10:11" ht="15.75" customHeight="1">
      <c r="J1783" s="4"/>
      <c r="K1783" s="4"/>
    </row>
    <row r="1784" spans="10:11" ht="15.75" customHeight="1">
      <c r="J1784" s="4"/>
      <c r="K1784" s="4"/>
    </row>
    <row r="1785" spans="10:11" ht="15.75" customHeight="1">
      <c r="J1785" s="4"/>
      <c r="K1785" s="4"/>
    </row>
    <row r="1786" spans="10:11" ht="15.75" customHeight="1">
      <c r="J1786" s="4"/>
      <c r="K1786" s="4"/>
    </row>
    <row r="1787" spans="10:11" ht="15.75" customHeight="1">
      <c r="J1787" s="4"/>
      <c r="K1787" s="4"/>
    </row>
    <row r="1788" spans="10:11" ht="15.75" customHeight="1">
      <c r="J1788" s="4"/>
      <c r="K1788" s="4"/>
    </row>
    <row r="1789" spans="10:11" ht="15.75" customHeight="1">
      <c r="J1789" s="4"/>
      <c r="K1789" s="4"/>
    </row>
    <row r="1790" spans="10:11" ht="15.75" customHeight="1">
      <c r="J1790" s="4"/>
      <c r="K1790" s="4"/>
    </row>
    <row r="1791" spans="10:11" ht="15.75" customHeight="1">
      <c r="J1791" s="4"/>
      <c r="K1791" s="4"/>
    </row>
    <row r="1792" spans="10:11" ht="15.75" customHeight="1">
      <c r="J1792" s="4"/>
      <c r="K1792" s="4"/>
    </row>
    <row r="1793" spans="10:11" ht="15.75" customHeight="1">
      <c r="J1793" s="4"/>
      <c r="K1793" s="4"/>
    </row>
    <row r="1794" spans="10:11" ht="15.75" customHeight="1">
      <c r="J1794" s="4"/>
      <c r="K1794" s="4"/>
    </row>
    <row r="1795" spans="10:11" ht="15.75" customHeight="1">
      <c r="J1795" s="4"/>
      <c r="K1795" s="4"/>
    </row>
    <row r="1796" spans="10:11" ht="15.75" customHeight="1">
      <c r="J1796" s="4"/>
      <c r="K1796" s="4"/>
    </row>
    <row r="1797" spans="10:11" ht="15.75" customHeight="1">
      <c r="J1797" s="4"/>
      <c r="K1797" s="4"/>
    </row>
    <row r="1798" spans="10:11" ht="15.75" customHeight="1">
      <c r="J1798" s="4"/>
      <c r="K1798" s="4"/>
    </row>
    <row r="1799" spans="10:11" ht="15.75" customHeight="1">
      <c r="J1799" s="4"/>
      <c r="K1799" s="4"/>
    </row>
    <row r="1800" spans="10:11" ht="15.75" customHeight="1">
      <c r="J1800" s="4"/>
      <c r="K1800" s="4"/>
    </row>
    <row r="1801" spans="10:11" ht="15.75" customHeight="1">
      <c r="J1801" s="4"/>
      <c r="K1801" s="4"/>
    </row>
    <row r="1802" spans="10:11" ht="15.75" customHeight="1">
      <c r="J1802" s="4"/>
      <c r="K1802" s="4"/>
    </row>
    <row r="1803" spans="10:11" ht="15.75" customHeight="1">
      <c r="J1803" s="4"/>
      <c r="K1803" s="4"/>
    </row>
    <row r="1804" spans="10:11" ht="15.75" customHeight="1">
      <c r="J1804" s="4"/>
      <c r="K1804" s="4"/>
    </row>
    <row r="1805" spans="10:11" ht="15.75" customHeight="1">
      <c r="J1805" s="4"/>
      <c r="K1805" s="4"/>
    </row>
    <row r="1806" spans="10:11" ht="15.75" customHeight="1">
      <c r="J1806" s="4"/>
      <c r="K1806" s="4"/>
    </row>
    <row r="1807" spans="10:11" ht="15.75" customHeight="1">
      <c r="J1807" s="4"/>
      <c r="K1807" s="4"/>
    </row>
    <row r="1808" spans="10:11" ht="15.75" customHeight="1">
      <c r="J1808" s="4"/>
      <c r="K1808" s="4"/>
    </row>
    <row r="1809" spans="10:11" ht="15.75" customHeight="1">
      <c r="J1809" s="4"/>
      <c r="K1809" s="4"/>
    </row>
    <row r="1810" spans="10:11" ht="15.75" customHeight="1">
      <c r="J1810" s="4"/>
      <c r="K1810" s="4"/>
    </row>
    <row r="1811" spans="10:11" ht="15.75" customHeight="1">
      <c r="J1811" s="4"/>
      <c r="K1811" s="4"/>
    </row>
    <row r="1812" spans="10:11" ht="15.75" customHeight="1">
      <c r="J1812" s="4"/>
      <c r="K1812" s="4"/>
    </row>
    <row r="1813" spans="10:11" ht="15.75" customHeight="1">
      <c r="J1813" s="4"/>
      <c r="K1813" s="4"/>
    </row>
    <row r="1814" spans="10:11" ht="15.75" customHeight="1">
      <c r="J1814" s="4"/>
      <c r="K1814" s="4"/>
    </row>
    <row r="1815" spans="10:11" ht="15.75" customHeight="1">
      <c r="J1815" s="4"/>
      <c r="K1815" s="4"/>
    </row>
    <row r="1816" spans="10:11" ht="15.75" customHeight="1">
      <c r="J1816" s="4"/>
      <c r="K1816" s="4"/>
    </row>
    <row r="1817" spans="10:11" ht="15.75" customHeight="1">
      <c r="J1817" s="4"/>
      <c r="K1817" s="4"/>
    </row>
    <row r="1818" spans="10:11" ht="15.75" customHeight="1">
      <c r="J1818" s="4"/>
      <c r="K1818" s="4"/>
    </row>
    <row r="1819" spans="10:11" ht="15.75" customHeight="1">
      <c r="J1819" s="4"/>
      <c r="K1819" s="4"/>
    </row>
    <row r="1820" spans="10:11" ht="15.75" customHeight="1">
      <c r="J1820" s="4"/>
      <c r="K1820" s="4"/>
    </row>
    <row r="1821" spans="10:11" ht="15.75" customHeight="1">
      <c r="J1821" s="4"/>
      <c r="K1821" s="4"/>
    </row>
    <row r="1822" spans="10:11" ht="15.75" customHeight="1">
      <c r="J1822" s="4"/>
      <c r="K1822" s="4"/>
    </row>
    <row r="1823" spans="10:11" ht="15.75" customHeight="1">
      <c r="J1823" s="4"/>
      <c r="K1823" s="4"/>
    </row>
    <row r="1824" spans="10:11" ht="15.75" customHeight="1">
      <c r="J1824" s="4"/>
      <c r="K1824" s="4"/>
    </row>
    <row r="1825" spans="10:11" ht="15.75" customHeight="1">
      <c r="J1825" s="4"/>
      <c r="K1825" s="4"/>
    </row>
    <row r="1826" spans="10:11" ht="15.75" customHeight="1">
      <c r="J1826" s="4"/>
      <c r="K1826" s="4"/>
    </row>
    <row r="1827" spans="10:11" ht="15.75" customHeight="1">
      <c r="J1827" s="4"/>
      <c r="K1827" s="4"/>
    </row>
    <row r="1828" spans="10:11" ht="15.75" customHeight="1">
      <c r="J1828" s="4"/>
      <c r="K1828" s="4"/>
    </row>
    <row r="1829" spans="10:11" ht="15.75" customHeight="1">
      <c r="J1829" s="4"/>
      <c r="K1829" s="4"/>
    </row>
    <row r="1830" spans="10:11" ht="15.75" customHeight="1">
      <c r="J1830" s="4"/>
      <c r="K1830" s="4"/>
    </row>
    <row r="1831" spans="10:11" ht="15.75" customHeight="1">
      <c r="J1831" s="4"/>
      <c r="K1831" s="4"/>
    </row>
    <row r="1832" spans="10:11" ht="15.75" customHeight="1">
      <c r="J1832" s="4"/>
      <c r="K1832" s="4"/>
    </row>
    <row r="1833" spans="10:11" ht="15.75" customHeight="1">
      <c r="J1833" s="4"/>
      <c r="K1833" s="4"/>
    </row>
    <row r="1834" spans="10:11" ht="15.75" customHeight="1">
      <c r="J1834" s="4"/>
      <c r="K1834" s="4"/>
    </row>
    <row r="1835" spans="10:11" ht="15.75" customHeight="1">
      <c r="J1835" s="4"/>
      <c r="K1835" s="4"/>
    </row>
    <row r="1836" spans="10:11" ht="15.75" customHeight="1">
      <c r="J1836" s="4"/>
      <c r="K1836" s="4"/>
    </row>
    <row r="1837" spans="10:11" ht="15.75" customHeight="1">
      <c r="J1837" s="4"/>
      <c r="K1837" s="4"/>
    </row>
    <row r="1838" spans="10:11" ht="15.75" customHeight="1">
      <c r="J1838" s="4"/>
      <c r="K1838" s="4"/>
    </row>
    <row r="1839" spans="10:11" ht="15.75" customHeight="1">
      <c r="J1839" s="4"/>
      <c r="K1839" s="4"/>
    </row>
    <row r="1840" spans="10:11" ht="15.75" customHeight="1">
      <c r="J1840" s="4"/>
      <c r="K1840" s="4"/>
    </row>
    <row r="1841" spans="10:11" ht="15.75" customHeight="1">
      <c r="J1841" s="4"/>
      <c r="K1841" s="4"/>
    </row>
    <row r="1842" spans="10:11" ht="15.75" customHeight="1">
      <c r="J1842" s="4"/>
      <c r="K1842" s="4"/>
    </row>
    <row r="1843" spans="10:11" ht="15.75" customHeight="1">
      <c r="J1843" s="4"/>
      <c r="K1843" s="4"/>
    </row>
    <row r="1844" spans="10:11" ht="15.75" customHeight="1">
      <c r="J1844" s="4"/>
      <c r="K1844" s="4"/>
    </row>
    <row r="1845" spans="10:11" ht="15.75" customHeight="1">
      <c r="J1845" s="4"/>
      <c r="K1845" s="4"/>
    </row>
    <row r="1846" spans="10:11" ht="15.75" customHeight="1">
      <c r="J1846" s="4"/>
      <c r="K1846" s="4"/>
    </row>
    <row r="1847" spans="10:11" ht="15.75" customHeight="1">
      <c r="J1847" s="4"/>
      <c r="K1847" s="4"/>
    </row>
    <row r="1848" spans="10:11" ht="15.75" customHeight="1">
      <c r="J1848" s="4"/>
      <c r="K1848" s="4"/>
    </row>
    <row r="1849" spans="10:11" ht="15.75" customHeight="1">
      <c r="J1849" s="4"/>
      <c r="K1849" s="4"/>
    </row>
    <row r="1850" spans="10:11" ht="15.75" customHeight="1">
      <c r="J1850" s="4"/>
      <c r="K1850" s="4"/>
    </row>
    <row r="1851" spans="10:11" ht="15.75" customHeight="1">
      <c r="J1851" s="4"/>
      <c r="K1851" s="4"/>
    </row>
    <row r="1852" spans="10:11" ht="15.75" customHeight="1">
      <c r="J1852" s="4"/>
      <c r="K1852" s="4"/>
    </row>
    <row r="1853" spans="10:11" ht="15.75" customHeight="1">
      <c r="J1853" s="4"/>
      <c r="K1853" s="4"/>
    </row>
    <row r="1854" spans="10:11" ht="15.75" customHeight="1">
      <c r="J1854" s="4"/>
      <c r="K1854" s="4"/>
    </row>
    <row r="1855" spans="10:11" ht="15.75" customHeight="1">
      <c r="J1855" s="4"/>
      <c r="K1855" s="4"/>
    </row>
    <row r="1856" spans="10:11" ht="15.75" customHeight="1">
      <c r="J1856" s="4"/>
      <c r="K1856" s="4"/>
    </row>
    <row r="1857" spans="10:11" ht="15.75" customHeight="1">
      <c r="J1857" s="4"/>
      <c r="K1857" s="4"/>
    </row>
    <row r="1858" spans="10:11" ht="15.75" customHeight="1">
      <c r="J1858" s="4"/>
      <c r="K1858" s="4"/>
    </row>
    <row r="1859" spans="10:11" ht="15.75" customHeight="1">
      <c r="J1859" s="4"/>
      <c r="K1859" s="4"/>
    </row>
    <row r="1860" spans="10:11" ht="15.75" customHeight="1">
      <c r="J1860" s="4"/>
      <c r="K1860" s="4"/>
    </row>
    <row r="1861" spans="10:11" ht="15.75" customHeight="1">
      <c r="J1861" s="4"/>
      <c r="K1861" s="4"/>
    </row>
    <row r="1862" spans="10:11" ht="15.75" customHeight="1">
      <c r="J1862" s="4"/>
      <c r="K1862" s="4"/>
    </row>
    <row r="1863" spans="10:11" ht="15.75" customHeight="1">
      <c r="J1863" s="4"/>
      <c r="K1863" s="4"/>
    </row>
    <row r="1864" spans="10:11" ht="15.75" customHeight="1">
      <c r="J1864" s="4"/>
      <c r="K1864" s="4"/>
    </row>
    <row r="1865" spans="10:11" ht="15.75" customHeight="1">
      <c r="J1865" s="4"/>
      <c r="K1865" s="4"/>
    </row>
    <row r="1866" spans="10:11" ht="15.75" customHeight="1">
      <c r="J1866" s="4"/>
      <c r="K1866" s="4"/>
    </row>
    <row r="1867" spans="10:11" ht="15.75" customHeight="1">
      <c r="J1867" s="4"/>
      <c r="K1867" s="4"/>
    </row>
    <row r="1868" spans="10:11" ht="15.75" customHeight="1">
      <c r="J1868" s="4"/>
      <c r="K1868" s="4"/>
    </row>
    <row r="1869" spans="10:11" ht="15.75" customHeight="1">
      <c r="J1869" s="4"/>
      <c r="K1869" s="4"/>
    </row>
    <row r="1870" spans="10:11" ht="15.75" customHeight="1">
      <c r="J1870" s="4"/>
      <c r="K1870" s="4"/>
    </row>
    <row r="1871" spans="10:11" ht="15.75" customHeight="1">
      <c r="J1871" s="4"/>
      <c r="K1871" s="4"/>
    </row>
    <row r="1872" spans="10:11" ht="15.75" customHeight="1">
      <c r="J1872" s="4"/>
      <c r="K1872" s="4"/>
    </row>
    <row r="1873" spans="10:11" ht="15.75" customHeight="1">
      <c r="J1873" s="4"/>
      <c r="K1873" s="4"/>
    </row>
    <row r="1874" spans="10:11" ht="15.75" customHeight="1">
      <c r="J1874" s="4"/>
      <c r="K1874" s="4"/>
    </row>
    <row r="1875" spans="10:11" ht="15.75" customHeight="1">
      <c r="J1875" s="4"/>
      <c r="K1875" s="4"/>
    </row>
    <row r="1876" spans="10:11" ht="15.75" customHeight="1">
      <c r="J1876" s="4"/>
      <c r="K1876" s="4"/>
    </row>
    <row r="1877" spans="10:11" ht="15.75" customHeight="1">
      <c r="J1877" s="4"/>
      <c r="K1877" s="4"/>
    </row>
    <row r="1878" spans="10:11" ht="15.75" customHeight="1">
      <c r="J1878" s="4"/>
      <c r="K1878" s="4"/>
    </row>
    <row r="1879" spans="10:11" ht="15.75" customHeight="1">
      <c r="J1879" s="4"/>
      <c r="K1879" s="4"/>
    </row>
    <row r="1880" spans="10:11" ht="15.75" customHeight="1">
      <c r="J1880" s="4"/>
      <c r="K1880" s="4"/>
    </row>
    <row r="1881" spans="10:11" ht="15.75" customHeight="1">
      <c r="J1881" s="4"/>
      <c r="K1881" s="4"/>
    </row>
    <row r="1882" spans="10:11" ht="15.75" customHeight="1">
      <c r="J1882" s="4"/>
      <c r="K1882" s="4"/>
    </row>
    <row r="1883" spans="10:11" ht="15.75" customHeight="1">
      <c r="J1883" s="4"/>
      <c r="K1883" s="4"/>
    </row>
    <row r="1884" spans="10:11" ht="15.75" customHeight="1">
      <c r="J1884" s="4"/>
      <c r="K1884" s="4"/>
    </row>
    <row r="1885" spans="10:11" ht="15.75" customHeight="1">
      <c r="J1885" s="4"/>
      <c r="K1885" s="4"/>
    </row>
    <row r="1886" spans="10:11" ht="15.75" customHeight="1">
      <c r="J1886" s="4"/>
      <c r="K1886" s="4"/>
    </row>
    <row r="1887" spans="10:11" ht="15.75" customHeight="1">
      <c r="J1887" s="4"/>
      <c r="K1887" s="4"/>
    </row>
    <row r="1888" spans="10:11" ht="15.75" customHeight="1">
      <c r="J1888" s="4"/>
      <c r="K1888" s="4"/>
    </row>
    <row r="1889" spans="10:11" ht="15.75" customHeight="1">
      <c r="J1889" s="4"/>
      <c r="K1889" s="4"/>
    </row>
    <row r="1890" spans="10:11" ht="15.75" customHeight="1">
      <c r="J1890" s="4"/>
      <c r="K1890" s="4"/>
    </row>
    <row r="1891" spans="10:11" ht="15.75" customHeight="1">
      <c r="J1891" s="4"/>
      <c r="K1891" s="4"/>
    </row>
    <row r="1892" spans="10:11" ht="15.75" customHeight="1">
      <c r="J1892" s="4"/>
      <c r="K1892" s="4"/>
    </row>
    <row r="1893" spans="10:11" ht="15.75" customHeight="1">
      <c r="J1893" s="4"/>
      <c r="K1893" s="4"/>
    </row>
    <row r="1894" spans="10:11" ht="15.75" customHeight="1">
      <c r="J1894" s="4"/>
      <c r="K1894" s="4"/>
    </row>
    <row r="1895" spans="10:11" ht="15.75" customHeight="1">
      <c r="J1895" s="4"/>
      <c r="K1895" s="4"/>
    </row>
    <row r="1896" spans="10:11" ht="15.75" customHeight="1">
      <c r="J1896" s="4"/>
      <c r="K1896" s="4"/>
    </row>
    <row r="1897" spans="10:11" ht="15.75" customHeight="1">
      <c r="J1897" s="4"/>
      <c r="K1897" s="4"/>
    </row>
    <row r="1898" spans="10:11" ht="15.75" customHeight="1">
      <c r="J1898" s="4"/>
      <c r="K1898" s="4"/>
    </row>
    <row r="1899" spans="10:11" ht="15.75" customHeight="1">
      <c r="J1899" s="4"/>
      <c r="K1899" s="4"/>
    </row>
    <row r="1900" spans="10:11" ht="15.75" customHeight="1">
      <c r="J1900" s="4"/>
      <c r="K1900" s="4"/>
    </row>
    <row r="1901" spans="10:11" ht="15.75" customHeight="1">
      <c r="J1901" s="4"/>
      <c r="K1901" s="4"/>
    </row>
    <row r="1902" spans="10:11" ht="15.75" customHeight="1">
      <c r="J1902" s="4"/>
      <c r="K1902" s="4"/>
    </row>
    <row r="1903" spans="10:11" ht="15.75" customHeight="1">
      <c r="J1903" s="4"/>
      <c r="K1903" s="4"/>
    </row>
    <row r="1904" spans="10:11" ht="15.75" customHeight="1">
      <c r="J1904" s="4"/>
      <c r="K1904" s="4"/>
    </row>
    <row r="1905" spans="10:11" ht="15.75" customHeight="1">
      <c r="J1905" s="4"/>
      <c r="K1905" s="4"/>
    </row>
    <row r="1906" spans="10:11" ht="15.75" customHeight="1">
      <c r="J1906" s="4"/>
      <c r="K1906" s="4"/>
    </row>
    <row r="1907" spans="10:11" ht="15.75" customHeight="1">
      <c r="J1907" s="4"/>
      <c r="K1907" s="4"/>
    </row>
    <row r="1908" spans="10:11" ht="15.75" customHeight="1">
      <c r="J1908" s="4"/>
      <c r="K1908" s="4"/>
    </row>
    <row r="1909" spans="10:11" ht="15.75" customHeight="1">
      <c r="J1909" s="4"/>
      <c r="K1909" s="4"/>
    </row>
    <row r="1910" spans="10:11" ht="15.75" customHeight="1">
      <c r="J1910" s="4"/>
      <c r="K1910" s="4"/>
    </row>
    <row r="1911" spans="10:11" ht="15.75" customHeight="1">
      <c r="J1911" s="4"/>
      <c r="K1911" s="4"/>
    </row>
    <row r="1912" spans="10:11" ht="15.75" customHeight="1">
      <c r="J1912" s="4"/>
      <c r="K1912" s="4"/>
    </row>
    <row r="1913" spans="10:11" ht="15.75" customHeight="1">
      <c r="J1913" s="4"/>
      <c r="K1913" s="4"/>
    </row>
    <row r="1914" spans="10:11" ht="15.75" customHeight="1">
      <c r="J1914" s="4"/>
      <c r="K1914" s="4"/>
    </row>
    <row r="1915" spans="10:11" ht="15.75" customHeight="1">
      <c r="J1915" s="4"/>
      <c r="K1915" s="4"/>
    </row>
    <row r="1916" spans="10:11" ht="15.75" customHeight="1">
      <c r="J1916" s="4"/>
      <c r="K1916" s="4"/>
    </row>
    <row r="1917" spans="10:11" ht="15.75" customHeight="1">
      <c r="J1917" s="4"/>
      <c r="K1917" s="4"/>
    </row>
    <row r="1918" spans="10:11" ht="15.75" customHeight="1">
      <c r="J1918" s="4"/>
      <c r="K1918" s="4"/>
    </row>
    <row r="1919" spans="10:11" ht="15.75" customHeight="1">
      <c r="J1919" s="4"/>
      <c r="K1919" s="4"/>
    </row>
    <row r="1920" spans="10:11" ht="15.75" customHeight="1">
      <c r="J1920" s="4"/>
      <c r="K1920" s="4"/>
    </row>
    <row r="1921" spans="10:11" ht="15.75" customHeight="1">
      <c r="J1921" s="4"/>
      <c r="K1921" s="4"/>
    </row>
    <row r="1922" spans="10:11" ht="15.75" customHeight="1">
      <c r="J1922" s="4"/>
      <c r="K1922" s="4"/>
    </row>
    <row r="1923" spans="10:11" ht="15.75" customHeight="1">
      <c r="J1923" s="4"/>
      <c r="K1923" s="4"/>
    </row>
    <row r="1924" spans="10:11" ht="15.75" customHeight="1">
      <c r="J1924" s="4"/>
      <c r="K1924" s="4"/>
    </row>
    <row r="1925" spans="10:11" ht="15.75" customHeight="1">
      <c r="J1925" s="4"/>
      <c r="K1925" s="4"/>
    </row>
    <row r="1926" spans="10:11" ht="15.75" customHeight="1">
      <c r="J1926" s="4"/>
      <c r="K1926" s="4"/>
    </row>
    <row r="1927" spans="10:11" ht="15.75" customHeight="1">
      <c r="J1927" s="4"/>
      <c r="K1927" s="4"/>
    </row>
    <row r="1928" spans="10:11" ht="15.75" customHeight="1">
      <c r="J1928" s="4"/>
      <c r="K1928" s="4"/>
    </row>
    <row r="1929" spans="10:11" ht="15.75" customHeight="1">
      <c r="J1929" s="4"/>
      <c r="K1929" s="4"/>
    </row>
    <row r="1930" spans="10:11" ht="15.75" customHeight="1">
      <c r="J1930" s="4"/>
      <c r="K1930" s="4"/>
    </row>
    <row r="1931" spans="10:11" ht="15.75" customHeight="1">
      <c r="J1931" s="4"/>
      <c r="K1931" s="4"/>
    </row>
    <row r="1932" spans="10:11" ht="15.75" customHeight="1">
      <c r="J1932" s="4"/>
      <c r="K1932" s="4"/>
    </row>
    <row r="1933" spans="10:11" ht="15.75" customHeight="1">
      <c r="J1933" s="4"/>
      <c r="K1933" s="4"/>
    </row>
    <row r="1934" spans="10:11" ht="15.75" customHeight="1">
      <c r="J1934" s="4"/>
      <c r="K1934" s="4"/>
    </row>
    <row r="1935" spans="10:11" ht="15.75" customHeight="1">
      <c r="J1935" s="4"/>
      <c r="K1935" s="4"/>
    </row>
    <row r="1936" spans="10:11" ht="15.75" customHeight="1">
      <c r="J1936" s="4"/>
      <c r="K1936" s="4"/>
    </row>
    <row r="1937" spans="10:11" ht="15.75" customHeight="1">
      <c r="J1937" s="4"/>
      <c r="K1937" s="4"/>
    </row>
    <row r="1938" spans="10:11" ht="15.75" customHeight="1">
      <c r="J1938" s="4"/>
      <c r="K1938" s="4"/>
    </row>
    <row r="1939" spans="10:11" ht="15.75" customHeight="1">
      <c r="J1939" s="4"/>
      <c r="K1939" s="4"/>
    </row>
    <row r="1940" spans="10:11" ht="15.75" customHeight="1">
      <c r="J1940" s="4"/>
      <c r="K1940" s="4"/>
    </row>
    <row r="1941" spans="10:11" ht="15.75" customHeight="1">
      <c r="J1941" s="4"/>
      <c r="K1941" s="4"/>
    </row>
    <row r="1942" spans="10:11" ht="15.75" customHeight="1">
      <c r="J1942" s="4"/>
      <c r="K1942" s="4"/>
    </row>
    <row r="1943" spans="10:11" ht="15.75" customHeight="1">
      <c r="J1943" s="4"/>
      <c r="K1943" s="4"/>
    </row>
    <row r="1944" spans="10:11" ht="15.75" customHeight="1">
      <c r="J1944" s="4"/>
      <c r="K1944" s="4"/>
    </row>
    <row r="1945" spans="10:11" ht="15.75" customHeight="1">
      <c r="J1945" s="4"/>
      <c r="K1945" s="4"/>
    </row>
    <row r="1946" spans="10:11" ht="15.75" customHeight="1">
      <c r="J1946" s="4"/>
      <c r="K1946" s="4"/>
    </row>
    <row r="1947" spans="10:11" ht="15.75" customHeight="1">
      <c r="J1947" s="4"/>
      <c r="K1947" s="4"/>
    </row>
    <row r="1948" spans="10:11" ht="15.75" customHeight="1">
      <c r="J1948" s="4"/>
      <c r="K1948" s="4"/>
    </row>
    <row r="1949" spans="10:11" ht="15.75" customHeight="1">
      <c r="J1949" s="4"/>
      <c r="K1949" s="4"/>
    </row>
    <row r="1950" spans="10:11" ht="15.75" customHeight="1">
      <c r="J1950" s="4"/>
      <c r="K1950" s="4"/>
    </row>
    <row r="1951" spans="10:11" ht="15.75" customHeight="1">
      <c r="J1951" s="4"/>
      <c r="K1951" s="4"/>
    </row>
    <row r="1952" spans="10:11" ht="15.75" customHeight="1">
      <c r="J1952" s="4"/>
      <c r="K1952" s="4"/>
    </row>
    <row r="1953" spans="10:11" ht="15.75" customHeight="1">
      <c r="J1953" s="4"/>
      <c r="K1953" s="4"/>
    </row>
    <row r="1954" spans="10:11" ht="15.75" customHeight="1">
      <c r="J1954" s="4"/>
      <c r="K1954" s="4"/>
    </row>
    <row r="1955" spans="10:11" ht="15.75" customHeight="1">
      <c r="J1955" s="4"/>
      <c r="K1955" s="4"/>
    </row>
    <row r="1956" spans="10:11" ht="15.75" customHeight="1">
      <c r="J1956" s="4"/>
      <c r="K1956" s="4"/>
    </row>
    <row r="1957" spans="10:11" ht="15.75" customHeight="1">
      <c r="J1957" s="4"/>
      <c r="K1957" s="4"/>
    </row>
    <row r="1958" spans="10:11" ht="15.75" customHeight="1">
      <c r="J1958" s="4"/>
      <c r="K1958" s="4"/>
    </row>
    <row r="1959" spans="10:11" ht="15.75" customHeight="1">
      <c r="J1959" s="4"/>
      <c r="K1959" s="4"/>
    </row>
    <row r="1960" spans="10:11" ht="15.75" customHeight="1">
      <c r="J1960" s="4"/>
      <c r="K1960" s="4"/>
    </row>
    <row r="1961" spans="10:11" ht="15.75" customHeight="1">
      <c r="J1961" s="4"/>
      <c r="K1961" s="4"/>
    </row>
    <row r="1962" spans="10:11" ht="15.75" customHeight="1">
      <c r="J1962" s="4"/>
      <c r="K1962" s="4"/>
    </row>
    <row r="1963" spans="10:11" ht="15.75" customHeight="1">
      <c r="J1963" s="4"/>
      <c r="K1963" s="4"/>
    </row>
    <row r="1964" spans="10:11" ht="15.75" customHeight="1">
      <c r="J1964" s="4"/>
      <c r="K1964" s="4"/>
    </row>
    <row r="1965" spans="10:11" ht="15.75" customHeight="1">
      <c r="J1965" s="4"/>
      <c r="K1965" s="4"/>
    </row>
    <row r="1966" spans="10:11" ht="15.75" customHeight="1">
      <c r="J1966" s="4"/>
      <c r="K1966" s="4"/>
    </row>
    <row r="1967" spans="10:11" ht="15.75" customHeight="1">
      <c r="J1967" s="4"/>
      <c r="K1967" s="4"/>
    </row>
    <row r="1968" spans="10:11" ht="15.75" customHeight="1">
      <c r="J1968" s="4"/>
      <c r="K1968" s="4"/>
    </row>
    <row r="1969" spans="10:11" ht="15.75" customHeight="1">
      <c r="J1969" s="4"/>
      <c r="K1969" s="4"/>
    </row>
    <row r="1970" spans="10:11" ht="15.75" customHeight="1">
      <c r="J1970" s="4"/>
      <c r="K1970" s="4"/>
    </row>
    <row r="1971" spans="10:11" ht="15.75" customHeight="1">
      <c r="J1971" s="4"/>
      <c r="K1971" s="4"/>
    </row>
    <row r="1972" spans="10:11" ht="15.75" customHeight="1">
      <c r="J1972" s="4"/>
      <c r="K1972" s="4"/>
    </row>
    <row r="1973" spans="10:11" ht="15.75" customHeight="1">
      <c r="J1973" s="4"/>
      <c r="K1973" s="4"/>
    </row>
    <row r="1974" spans="10:11" ht="15.75" customHeight="1">
      <c r="J1974" s="4"/>
      <c r="K1974" s="4"/>
    </row>
    <row r="1975" spans="10:11" ht="15.75" customHeight="1">
      <c r="J1975" s="4"/>
      <c r="K1975" s="4"/>
    </row>
    <row r="1976" spans="10:11" ht="15.75" customHeight="1">
      <c r="J1976" s="4"/>
      <c r="K1976" s="4"/>
    </row>
    <row r="1977" spans="10:11" ht="15.75" customHeight="1">
      <c r="J1977" s="4"/>
      <c r="K1977" s="4"/>
    </row>
    <row r="1978" spans="10:11" ht="15.75" customHeight="1">
      <c r="J1978" s="4"/>
      <c r="K1978" s="4"/>
    </row>
    <row r="1979" spans="10:11" ht="15.75" customHeight="1">
      <c r="J1979" s="4"/>
      <c r="K1979" s="4"/>
    </row>
    <row r="1980" spans="10:11" ht="15.75" customHeight="1">
      <c r="J1980" s="4"/>
      <c r="K1980" s="4"/>
    </row>
    <row r="1981" spans="10:11" ht="15.75" customHeight="1">
      <c r="J1981" s="4"/>
      <c r="K1981" s="4"/>
    </row>
    <row r="1982" spans="10:11" ht="15.75" customHeight="1">
      <c r="J1982" s="4"/>
      <c r="K1982" s="4"/>
    </row>
    <row r="1983" spans="10:11" ht="15.75" customHeight="1">
      <c r="J1983" s="4"/>
      <c r="K1983" s="4"/>
    </row>
    <row r="1984" spans="10:11" ht="15.75" customHeight="1">
      <c r="J1984" s="4"/>
      <c r="K1984" s="4"/>
    </row>
    <row r="1985" spans="10:11" ht="15.75" customHeight="1">
      <c r="J1985" s="4"/>
      <c r="K1985" s="4"/>
    </row>
    <row r="1986" spans="10:11" ht="15.75" customHeight="1">
      <c r="J1986" s="4"/>
      <c r="K1986" s="4"/>
    </row>
    <row r="1987" spans="10:11" ht="15.75" customHeight="1">
      <c r="J1987" s="4"/>
      <c r="K1987" s="4"/>
    </row>
    <row r="1988" spans="10:11" ht="15.75" customHeight="1">
      <c r="J1988" s="4"/>
      <c r="K1988" s="4"/>
    </row>
    <row r="1989" spans="10:11" ht="15.75" customHeight="1">
      <c r="J1989" s="4"/>
      <c r="K1989" s="4"/>
    </row>
    <row r="1990" spans="10:11" ht="15.75" customHeight="1">
      <c r="J1990" s="4"/>
      <c r="K1990" s="4"/>
    </row>
    <row r="1991" spans="10:11" ht="15.75" customHeight="1">
      <c r="J1991" s="4"/>
      <c r="K1991" s="4"/>
    </row>
    <row r="1992" spans="10:11" ht="15.75" customHeight="1">
      <c r="J1992" s="4"/>
      <c r="K1992" s="4"/>
    </row>
    <row r="1993" spans="10:11" ht="15.75" customHeight="1">
      <c r="J1993" s="4"/>
      <c r="K1993" s="4"/>
    </row>
    <row r="1994" spans="10:11" ht="15.75" customHeight="1">
      <c r="J1994" s="4"/>
      <c r="K1994" s="4"/>
    </row>
    <row r="1995" spans="10:11" ht="15.75" customHeight="1">
      <c r="J1995" s="4"/>
      <c r="K1995" s="4"/>
    </row>
    <row r="1996" spans="10:11" ht="15.75" customHeight="1">
      <c r="J1996" s="4"/>
      <c r="K1996" s="4"/>
    </row>
    <row r="1997" spans="10:11" ht="15.75" customHeight="1">
      <c r="J1997" s="4"/>
      <c r="K1997" s="4"/>
    </row>
    <row r="1998" spans="10:11" ht="15.75" customHeight="1">
      <c r="J1998" s="4"/>
      <c r="K1998" s="4"/>
    </row>
    <row r="1999" spans="10:11" ht="15.75" customHeight="1">
      <c r="J1999" s="4"/>
      <c r="K1999" s="4"/>
    </row>
    <row r="2000" spans="10:11" ht="15.75" customHeight="1">
      <c r="J2000" s="4"/>
      <c r="K2000" s="4"/>
    </row>
    <row r="2001" spans="10:11" ht="15.75" customHeight="1">
      <c r="J2001" s="4"/>
      <c r="K2001" s="4"/>
    </row>
    <row r="2002" spans="10:11" ht="15.75" customHeight="1">
      <c r="J2002" s="4"/>
      <c r="K2002" s="4"/>
    </row>
    <row r="2003" spans="10:11" ht="15.75" customHeight="1">
      <c r="J2003" s="4"/>
      <c r="K2003" s="4"/>
    </row>
    <row r="2004" spans="10:11" ht="15.75" customHeight="1">
      <c r="J2004" s="4"/>
      <c r="K2004" s="4"/>
    </row>
    <row r="2005" spans="10:11" ht="15.75" customHeight="1">
      <c r="J2005" s="4"/>
      <c r="K2005" s="4"/>
    </row>
    <row r="2006" spans="10:11" ht="15.75" customHeight="1">
      <c r="J2006" s="4"/>
      <c r="K2006" s="4"/>
    </row>
    <row r="2007" spans="10:11" ht="15.75" customHeight="1">
      <c r="J2007" s="4"/>
      <c r="K2007" s="4"/>
    </row>
    <row r="2008" spans="10:11" ht="15.75" customHeight="1">
      <c r="J2008" s="4"/>
      <c r="K2008" s="4"/>
    </row>
    <row r="2009" spans="10:11" ht="15.75" customHeight="1">
      <c r="J2009" s="4"/>
      <c r="K2009" s="4"/>
    </row>
    <row r="2010" spans="10:11" ht="15.75" customHeight="1">
      <c r="J2010" s="4"/>
      <c r="K2010" s="4"/>
    </row>
    <row r="2011" spans="10:11" ht="15.75" customHeight="1">
      <c r="J2011" s="4"/>
      <c r="K2011" s="4"/>
    </row>
    <row r="2012" spans="10:11" ht="15.75" customHeight="1">
      <c r="J2012" s="4"/>
      <c r="K2012" s="4"/>
    </row>
    <row r="2013" spans="10:11" ht="15.75" customHeight="1">
      <c r="J2013" s="4"/>
      <c r="K2013" s="4"/>
    </row>
    <row r="2014" spans="10:11" ht="15.75" customHeight="1">
      <c r="J2014" s="4"/>
      <c r="K2014" s="4"/>
    </row>
    <row r="2015" spans="10:11" ht="15.75" customHeight="1">
      <c r="J2015" s="4"/>
      <c r="K2015" s="4"/>
    </row>
    <row r="2016" spans="10:11" ht="15.75" customHeight="1">
      <c r="J2016" s="4"/>
      <c r="K2016" s="4"/>
    </row>
    <row r="2017" spans="10:11" ht="15.75" customHeight="1">
      <c r="J2017" s="4"/>
      <c r="K2017" s="4"/>
    </row>
    <row r="2018" spans="10:11" ht="15.75" customHeight="1">
      <c r="J2018" s="4"/>
      <c r="K2018" s="4"/>
    </row>
    <row r="2019" spans="10:11" ht="15.75" customHeight="1">
      <c r="J2019" s="4"/>
      <c r="K2019" s="4"/>
    </row>
    <row r="2020" spans="10:11" ht="15.75" customHeight="1">
      <c r="J2020" s="4"/>
      <c r="K2020" s="4"/>
    </row>
    <row r="2021" spans="10:11" ht="15.75" customHeight="1">
      <c r="J2021" s="4"/>
      <c r="K2021" s="4"/>
    </row>
    <row r="2022" spans="10:11" ht="15.75" customHeight="1">
      <c r="J2022" s="4"/>
      <c r="K2022" s="4"/>
    </row>
    <row r="2023" spans="10:11" ht="15.75" customHeight="1">
      <c r="J2023" s="4"/>
      <c r="K2023" s="4"/>
    </row>
    <row r="2024" spans="10:11" ht="15.75" customHeight="1">
      <c r="J2024" s="4"/>
      <c r="K2024" s="4"/>
    </row>
    <row r="2025" spans="10:11" ht="15.75" customHeight="1">
      <c r="J2025" s="4"/>
      <c r="K2025" s="4"/>
    </row>
    <row r="2026" spans="10:11" ht="15.75" customHeight="1">
      <c r="J2026" s="4"/>
      <c r="K2026" s="4"/>
    </row>
    <row r="2027" spans="10:11" ht="15.75" customHeight="1">
      <c r="J2027" s="4"/>
      <c r="K2027" s="4"/>
    </row>
    <row r="2028" spans="10:11" ht="15.75" customHeight="1">
      <c r="J2028" s="4"/>
      <c r="K2028" s="4"/>
    </row>
    <row r="2029" spans="10:11" ht="15.75" customHeight="1">
      <c r="J2029" s="4"/>
      <c r="K2029" s="4"/>
    </row>
    <row r="2030" spans="10:11" ht="15.75" customHeight="1">
      <c r="J2030" s="4"/>
      <c r="K2030" s="4"/>
    </row>
    <row r="2031" spans="10:11" ht="15.75" customHeight="1">
      <c r="J2031" s="4"/>
      <c r="K2031" s="4"/>
    </row>
    <row r="2032" spans="10:11" ht="15.75" customHeight="1">
      <c r="J2032" s="4"/>
      <c r="K2032" s="4"/>
    </row>
    <row r="2033" spans="10:11" ht="15.75" customHeight="1">
      <c r="J2033" s="4"/>
      <c r="K2033" s="4"/>
    </row>
    <row r="2034" spans="10:11" ht="15.75" customHeight="1">
      <c r="J2034" s="4"/>
      <c r="K2034" s="4"/>
    </row>
    <row r="2035" spans="10:11" ht="15.75" customHeight="1">
      <c r="J2035" s="4"/>
      <c r="K2035" s="4"/>
    </row>
    <row r="2036" spans="10:11" ht="15.75" customHeight="1">
      <c r="J2036" s="4"/>
      <c r="K2036" s="4"/>
    </row>
    <row r="2037" spans="10:11" ht="15.75" customHeight="1">
      <c r="J2037" s="4"/>
      <c r="K2037" s="4"/>
    </row>
    <row r="2038" spans="10:11" ht="15.75" customHeight="1">
      <c r="J2038" s="4"/>
      <c r="K2038" s="4"/>
    </row>
    <row r="2039" spans="10:11" ht="15.75" customHeight="1">
      <c r="J2039" s="4"/>
      <c r="K2039" s="4"/>
    </row>
    <row r="2040" spans="10:11" ht="15.75" customHeight="1">
      <c r="J2040" s="4"/>
      <c r="K2040" s="4"/>
    </row>
    <row r="2041" spans="10:11" ht="15.75" customHeight="1">
      <c r="J2041" s="4"/>
      <c r="K2041" s="4"/>
    </row>
    <row r="2042" spans="10:11" ht="15.75" customHeight="1">
      <c r="J2042" s="4"/>
      <c r="K2042" s="4"/>
    </row>
    <row r="2043" spans="10:11" ht="15.75" customHeight="1">
      <c r="J2043" s="4"/>
      <c r="K2043" s="4"/>
    </row>
    <row r="2044" spans="10:11" ht="15.75" customHeight="1">
      <c r="J2044" s="4"/>
      <c r="K2044" s="4"/>
    </row>
    <row r="2045" spans="10:11" ht="15.75" customHeight="1">
      <c r="J2045" s="4"/>
      <c r="K2045" s="4"/>
    </row>
    <row r="2046" spans="10:11" ht="15.75" customHeight="1">
      <c r="J2046" s="4"/>
      <c r="K2046" s="4"/>
    </row>
    <row r="2047" spans="10:11" ht="15.75" customHeight="1">
      <c r="J2047" s="4"/>
      <c r="K2047" s="4"/>
    </row>
    <row r="2048" spans="10:11" ht="15.75" customHeight="1">
      <c r="J2048" s="4"/>
      <c r="K2048" s="4"/>
    </row>
    <row r="2049" spans="10:11" ht="15.75" customHeight="1">
      <c r="J2049" s="4"/>
      <c r="K2049" s="4"/>
    </row>
    <row r="2050" spans="10:11" ht="15.75" customHeight="1">
      <c r="J2050" s="4"/>
      <c r="K2050" s="4"/>
    </row>
    <row r="2051" spans="10:11" ht="15.75" customHeight="1">
      <c r="J2051" s="4"/>
      <c r="K2051" s="4"/>
    </row>
    <row r="2052" spans="10:11" ht="15.75" customHeight="1">
      <c r="J2052" s="4"/>
      <c r="K2052" s="4"/>
    </row>
    <row r="2053" spans="10:11" ht="15.75" customHeight="1">
      <c r="J2053" s="4"/>
      <c r="K2053" s="4"/>
    </row>
    <row r="2054" spans="10:11" ht="15.75" customHeight="1">
      <c r="J2054" s="4"/>
      <c r="K2054" s="4"/>
    </row>
    <row r="2055" spans="10:11" ht="15.75" customHeight="1">
      <c r="J2055" s="4"/>
      <c r="K2055" s="4"/>
    </row>
    <row r="2056" spans="10:11" ht="15.75" customHeight="1">
      <c r="J2056" s="4"/>
      <c r="K2056" s="4"/>
    </row>
    <row r="2057" spans="10:11" ht="15.75" customHeight="1">
      <c r="J2057" s="4"/>
      <c r="K2057" s="4"/>
    </row>
    <row r="2058" spans="10:11" ht="15.75" customHeight="1">
      <c r="J2058" s="4"/>
      <c r="K2058" s="4"/>
    </row>
    <row r="2059" spans="10:11" ht="15.75" customHeight="1">
      <c r="J2059" s="4"/>
      <c r="K2059" s="4"/>
    </row>
    <row r="2060" spans="10:11" ht="15.75" customHeight="1">
      <c r="J2060" s="4"/>
      <c r="K2060" s="4"/>
    </row>
    <row r="2061" spans="10:11" ht="15.75" customHeight="1">
      <c r="J2061" s="4"/>
      <c r="K2061" s="4"/>
    </row>
    <row r="2062" spans="10:11" ht="15.75" customHeight="1">
      <c r="J2062" s="4"/>
      <c r="K2062" s="4"/>
    </row>
    <row r="2063" spans="10:11" ht="15.75" customHeight="1">
      <c r="J2063" s="4"/>
      <c r="K2063" s="4"/>
    </row>
    <row r="2064" spans="10:11" ht="15.75" customHeight="1">
      <c r="J2064" s="4"/>
      <c r="K2064" s="4"/>
    </row>
    <row r="2065" spans="10:11" ht="15.75" customHeight="1">
      <c r="J2065" s="4"/>
      <c r="K2065" s="4"/>
    </row>
    <row r="2066" spans="10:11" ht="15.75" customHeight="1">
      <c r="J2066" s="4"/>
      <c r="K2066" s="4"/>
    </row>
    <row r="2067" spans="10:11" ht="15.75" customHeight="1">
      <c r="J2067" s="4"/>
      <c r="K2067" s="4"/>
    </row>
    <row r="2068" spans="10:11" ht="15.75" customHeight="1">
      <c r="J2068" s="4"/>
      <c r="K2068" s="4"/>
    </row>
    <row r="2069" spans="10:11" ht="15.75" customHeight="1">
      <c r="J2069" s="4"/>
      <c r="K2069" s="4"/>
    </row>
    <row r="2070" spans="10:11" ht="15.75" customHeight="1">
      <c r="J2070" s="4"/>
      <c r="K2070" s="4"/>
    </row>
    <row r="2071" spans="10:11" ht="15.75" customHeight="1">
      <c r="J2071" s="4"/>
      <c r="K2071" s="4"/>
    </row>
    <row r="2072" spans="10:11" ht="15.75" customHeight="1">
      <c r="J2072" s="4"/>
      <c r="K2072" s="4"/>
    </row>
    <row r="2073" spans="10:11" ht="15.75" customHeight="1">
      <c r="J2073" s="4"/>
      <c r="K2073" s="4"/>
    </row>
    <row r="2074" spans="10:11" ht="15.75" customHeight="1">
      <c r="J2074" s="4"/>
      <c r="K2074" s="4"/>
    </row>
    <row r="2075" spans="10:11" ht="15.75" customHeight="1">
      <c r="J2075" s="4"/>
      <c r="K2075" s="4"/>
    </row>
    <row r="2076" spans="10:11" ht="15.75" customHeight="1">
      <c r="J2076" s="4"/>
      <c r="K2076" s="4"/>
    </row>
    <row r="2077" spans="10:11" ht="15.75" customHeight="1">
      <c r="J2077" s="4"/>
      <c r="K2077" s="4"/>
    </row>
    <row r="2078" spans="10:11" ht="15.75" customHeight="1">
      <c r="J2078" s="4"/>
      <c r="K2078" s="4"/>
    </row>
    <row r="2079" spans="10:11" ht="15.75" customHeight="1">
      <c r="J2079" s="4"/>
      <c r="K2079" s="4"/>
    </row>
    <row r="2080" spans="10:11" ht="15.75" customHeight="1">
      <c r="J2080" s="4"/>
      <c r="K2080" s="4"/>
    </row>
    <row r="2081" spans="10:11" ht="15.75" customHeight="1">
      <c r="J2081" s="4"/>
      <c r="K2081" s="4"/>
    </row>
    <row r="2082" spans="10:11" ht="15.75" customHeight="1">
      <c r="J2082" s="4"/>
      <c r="K2082" s="4"/>
    </row>
    <row r="2083" spans="10:11" ht="15.75" customHeight="1">
      <c r="J2083" s="4"/>
      <c r="K2083" s="4"/>
    </row>
    <row r="2084" spans="10:11" ht="15.75" customHeight="1">
      <c r="J2084" s="4"/>
      <c r="K2084" s="4"/>
    </row>
    <row r="2085" spans="10:11" ht="15.75" customHeight="1">
      <c r="J2085" s="4"/>
      <c r="K2085" s="4"/>
    </row>
    <row r="2086" spans="10:11" ht="15.75" customHeight="1">
      <c r="J2086" s="4"/>
      <c r="K2086" s="4"/>
    </row>
    <row r="2087" spans="10:11" ht="15.75" customHeight="1">
      <c r="J2087" s="4"/>
      <c r="K2087" s="4"/>
    </row>
    <row r="2088" spans="10:11" ht="15.75" customHeight="1">
      <c r="J2088" s="4"/>
      <c r="K2088" s="4"/>
    </row>
    <row r="2089" spans="10:11" ht="15.75" customHeight="1">
      <c r="J2089" s="4"/>
      <c r="K2089" s="4"/>
    </row>
    <row r="2090" spans="10:11" ht="15.75" customHeight="1">
      <c r="J2090" s="4"/>
      <c r="K2090" s="4"/>
    </row>
    <row r="2091" spans="10:11" ht="15.75" customHeight="1">
      <c r="J2091" s="4"/>
      <c r="K2091" s="4"/>
    </row>
    <row r="2092" spans="10:11" ht="15.75" customHeight="1">
      <c r="J2092" s="4"/>
      <c r="K2092" s="4"/>
    </row>
    <row r="2093" spans="10:11" ht="15.75" customHeight="1">
      <c r="J2093" s="4"/>
      <c r="K2093" s="4"/>
    </row>
    <row r="2094" spans="10:11" ht="15.75" customHeight="1">
      <c r="J2094" s="4"/>
      <c r="K2094" s="4"/>
    </row>
    <row r="2095" spans="10:11" ht="15.75" customHeight="1">
      <c r="J2095" s="4"/>
      <c r="K2095" s="4"/>
    </row>
    <row r="2096" spans="10:11" ht="15.75" customHeight="1">
      <c r="J2096" s="4"/>
      <c r="K2096" s="4"/>
    </row>
    <row r="2097" spans="10:11" ht="15.75" customHeight="1">
      <c r="J2097" s="4"/>
      <c r="K2097" s="4"/>
    </row>
    <row r="2098" spans="10:11" ht="15.75" customHeight="1">
      <c r="J2098" s="4"/>
      <c r="K2098" s="4"/>
    </row>
    <row r="2099" spans="10:11" ht="15.75" customHeight="1">
      <c r="J2099" s="4"/>
      <c r="K2099" s="4"/>
    </row>
    <row r="2100" spans="10:11" ht="15.75" customHeight="1">
      <c r="J2100" s="4"/>
      <c r="K2100" s="4"/>
    </row>
    <row r="2101" spans="10:11" ht="15.75" customHeight="1">
      <c r="J2101" s="4"/>
      <c r="K2101" s="4"/>
    </row>
    <row r="2102" spans="10:11" ht="15.75" customHeight="1">
      <c r="J2102" s="4"/>
      <c r="K2102" s="4"/>
    </row>
    <row r="2103" spans="10:11" ht="15.75" customHeight="1">
      <c r="J2103" s="4"/>
      <c r="K2103" s="4"/>
    </row>
    <row r="2104" spans="10:11" ht="15.75" customHeight="1">
      <c r="J2104" s="4"/>
      <c r="K2104" s="4"/>
    </row>
    <row r="2105" spans="10:11" ht="15.75" customHeight="1">
      <c r="J2105" s="4"/>
      <c r="K2105" s="4"/>
    </row>
    <row r="2106" spans="10:11" ht="15.75" customHeight="1">
      <c r="J2106" s="4"/>
      <c r="K2106" s="4"/>
    </row>
    <row r="2107" spans="10:11" ht="15.75" customHeight="1">
      <c r="J2107" s="4"/>
      <c r="K2107" s="4"/>
    </row>
    <row r="2108" spans="10:11" ht="15.75" customHeight="1">
      <c r="J2108" s="4"/>
      <c r="K2108" s="4"/>
    </row>
    <row r="2109" spans="10:11" ht="15.75" customHeight="1">
      <c r="J2109" s="4"/>
      <c r="K2109" s="4"/>
    </row>
    <row r="2110" spans="10:11" ht="15.75" customHeight="1">
      <c r="J2110" s="4"/>
      <c r="K2110" s="4"/>
    </row>
    <row r="2111" spans="10:11" ht="15.75" customHeight="1">
      <c r="J2111" s="4"/>
      <c r="K2111" s="4"/>
    </row>
    <row r="2112" spans="10:11" ht="15.75" customHeight="1">
      <c r="J2112" s="4"/>
      <c r="K2112" s="4"/>
    </row>
    <row r="2113" spans="10:11" ht="15.75" customHeight="1">
      <c r="J2113" s="4"/>
      <c r="K2113" s="4"/>
    </row>
    <row r="2114" spans="10:11" ht="15.75" customHeight="1">
      <c r="J2114" s="4"/>
      <c r="K2114" s="4"/>
    </row>
    <row r="2115" spans="10:11" ht="15.75" customHeight="1">
      <c r="J2115" s="4"/>
      <c r="K2115" s="4"/>
    </row>
    <row r="2116" spans="10:11" ht="15.75" customHeight="1">
      <c r="J2116" s="4"/>
      <c r="K2116" s="4"/>
    </row>
    <row r="2117" spans="10:11" ht="15.75" customHeight="1">
      <c r="J2117" s="4"/>
      <c r="K2117" s="4"/>
    </row>
    <row r="2118" spans="10:11" ht="15.75" customHeight="1">
      <c r="J2118" s="4"/>
      <c r="K2118" s="4"/>
    </row>
    <row r="2119" spans="10:11" ht="15.75" customHeight="1">
      <c r="J2119" s="4"/>
      <c r="K2119" s="4"/>
    </row>
    <row r="2120" spans="10:11" ht="15.75" customHeight="1">
      <c r="J2120" s="4"/>
      <c r="K2120" s="4"/>
    </row>
    <row r="2121" spans="10:11" ht="15.75" customHeight="1">
      <c r="J2121" s="4"/>
      <c r="K2121" s="4"/>
    </row>
    <row r="2122" spans="10:11" ht="15.75" customHeight="1">
      <c r="J2122" s="4"/>
      <c r="K2122" s="4"/>
    </row>
    <row r="2123" spans="10:11" ht="15.75" customHeight="1">
      <c r="J2123" s="4"/>
      <c r="K2123" s="4"/>
    </row>
    <row r="2124" spans="10:11" ht="15.75" customHeight="1">
      <c r="J2124" s="4"/>
      <c r="K2124" s="4"/>
    </row>
    <row r="2125" spans="10:11" ht="15.75" customHeight="1">
      <c r="J2125" s="4"/>
      <c r="K2125" s="4"/>
    </row>
    <row r="2126" spans="10:11" ht="15.75" customHeight="1">
      <c r="J2126" s="4"/>
      <c r="K2126" s="4"/>
    </row>
    <row r="2127" spans="10:11" ht="15.75" customHeight="1">
      <c r="J2127" s="4"/>
      <c r="K2127" s="4"/>
    </row>
    <row r="2128" spans="10:11" ht="15.75" customHeight="1">
      <c r="J2128" s="4"/>
      <c r="K2128" s="4"/>
    </row>
    <row r="2129" spans="10:11" ht="15.75" customHeight="1">
      <c r="J2129" s="4"/>
      <c r="K2129" s="4"/>
    </row>
    <row r="2130" spans="10:11" ht="15.75" customHeight="1">
      <c r="J2130" s="4"/>
      <c r="K2130" s="4"/>
    </row>
    <row r="2131" spans="10:11" ht="15.75" customHeight="1">
      <c r="J2131" s="4"/>
      <c r="K2131" s="4"/>
    </row>
    <row r="2132" spans="10:11" ht="15.75" customHeight="1">
      <c r="J2132" s="4"/>
      <c r="K2132" s="4"/>
    </row>
    <row r="2133" spans="10:11" ht="15.75" customHeight="1">
      <c r="J2133" s="4"/>
      <c r="K2133" s="4"/>
    </row>
    <row r="2134" spans="10:11" ht="15.75" customHeight="1">
      <c r="J2134" s="4"/>
      <c r="K2134" s="4"/>
    </row>
    <row r="2135" spans="10:11" ht="15.75" customHeight="1">
      <c r="J2135" s="4"/>
      <c r="K2135" s="4"/>
    </row>
    <row r="2136" spans="10:11" ht="15.75" customHeight="1">
      <c r="J2136" s="4"/>
      <c r="K2136" s="4"/>
    </row>
    <row r="2137" spans="10:11" ht="15.75" customHeight="1">
      <c r="J2137" s="4"/>
      <c r="K2137" s="4"/>
    </row>
    <row r="2138" spans="10:11" ht="15.75" customHeight="1">
      <c r="J2138" s="4"/>
      <c r="K2138" s="4"/>
    </row>
    <row r="2139" spans="10:11" ht="15.75" customHeight="1">
      <c r="J2139" s="4"/>
      <c r="K2139" s="4"/>
    </row>
    <row r="2140" spans="10:11" ht="15.75" customHeight="1">
      <c r="J2140" s="4"/>
      <c r="K2140" s="4"/>
    </row>
    <row r="2141" spans="10:11" ht="15.75" customHeight="1">
      <c r="J2141" s="4"/>
      <c r="K2141" s="4"/>
    </row>
    <row r="2142" spans="10:11" ht="15.75" customHeight="1">
      <c r="J2142" s="4"/>
      <c r="K2142" s="4"/>
    </row>
    <row r="2143" spans="10:11" ht="15.75" customHeight="1">
      <c r="J2143" s="4"/>
      <c r="K2143" s="4"/>
    </row>
    <row r="2144" spans="10:11" ht="15.75" customHeight="1">
      <c r="J2144" s="4"/>
      <c r="K2144" s="4"/>
    </row>
    <row r="2145" spans="10:11" ht="15.75" customHeight="1">
      <c r="J2145" s="4"/>
      <c r="K2145" s="4"/>
    </row>
    <row r="2146" spans="10:11" ht="15.75" customHeight="1">
      <c r="J2146" s="4"/>
      <c r="K2146" s="4"/>
    </row>
    <row r="2147" spans="10:11" ht="15.75" customHeight="1">
      <c r="J2147" s="4"/>
      <c r="K2147" s="4"/>
    </row>
    <row r="2148" spans="10:11" ht="15.75" customHeight="1">
      <c r="J2148" s="4"/>
      <c r="K2148" s="4"/>
    </row>
    <row r="2149" spans="10:11" ht="15.75" customHeight="1">
      <c r="J2149" s="4"/>
      <c r="K2149" s="4"/>
    </row>
    <row r="2150" spans="10:11" ht="15.75" customHeight="1">
      <c r="J2150" s="4"/>
      <c r="K2150" s="4"/>
    </row>
    <row r="2151" spans="10:11" ht="15.75" customHeight="1">
      <c r="J2151" s="4"/>
      <c r="K2151" s="4"/>
    </row>
    <row r="2152" spans="10:11" ht="15.75" customHeight="1">
      <c r="J2152" s="4"/>
      <c r="K2152" s="4"/>
    </row>
    <row r="2153" spans="10:11" ht="15.75" customHeight="1">
      <c r="J2153" s="4"/>
      <c r="K2153" s="4"/>
    </row>
    <row r="2154" spans="10:11" ht="15.75" customHeight="1">
      <c r="J2154" s="4"/>
      <c r="K2154" s="4"/>
    </row>
    <row r="2155" spans="10:11" ht="15.75" customHeight="1">
      <c r="J2155" s="4"/>
      <c r="K2155" s="4"/>
    </row>
    <row r="2156" spans="10:11" ht="15.75" customHeight="1">
      <c r="J2156" s="4"/>
      <c r="K2156" s="4"/>
    </row>
    <row r="2157" spans="10:11" ht="15.75" customHeight="1">
      <c r="J2157" s="4"/>
      <c r="K2157" s="4"/>
    </row>
    <row r="2158" spans="10:11" ht="15.75" customHeight="1">
      <c r="J2158" s="4"/>
      <c r="K2158" s="4"/>
    </row>
    <row r="2159" spans="10:11" ht="15.75" customHeight="1">
      <c r="J2159" s="4"/>
      <c r="K2159" s="4"/>
    </row>
    <row r="2160" spans="10:11" ht="15.75" customHeight="1">
      <c r="J2160" s="4"/>
      <c r="K2160" s="4"/>
    </row>
    <row r="2161" spans="10:11" ht="15.75" customHeight="1">
      <c r="J2161" s="4"/>
      <c r="K2161" s="4"/>
    </row>
    <row r="2162" spans="10:11" ht="15.75" customHeight="1">
      <c r="J2162" s="4"/>
      <c r="K2162" s="4"/>
    </row>
    <row r="2163" spans="10:11" ht="15.75" customHeight="1">
      <c r="J2163" s="4"/>
      <c r="K2163" s="4"/>
    </row>
    <row r="2164" spans="10:11" ht="15.75" customHeight="1">
      <c r="J2164" s="4"/>
      <c r="K2164" s="4"/>
    </row>
    <row r="2165" spans="10:11" ht="15.75" customHeight="1">
      <c r="J2165" s="4"/>
      <c r="K2165" s="4"/>
    </row>
    <row r="2166" spans="10:11" ht="15.75" customHeight="1">
      <c r="J2166" s="4"/>
      <c r="K2166" s="4"/>
    </row>
    <row r="2167" spans="10:11" ht="15.75" customHeight="1">
      <c r="J2167" s="4"/>
      <c r="K2167" s="4"/>
    </row>
    <row r="2168" spans="10:11" ht="15.75" customHeight="1">
      <c r="J2168" s="4"/>
      <c r="K2168" s="4"/>
    </row>
    <row r="2169" spans="10:11" ht="15.75" customHeight="1">
      <c r="J2169" s="4"/>
      <c r="K2169" s="4"/>
    </row>
    <row r="2170" spans="10:11" ht="15.75" customHeight="1">
      <c r="J2170" s="4"/>
      <c r="K2170" s="4"/>
    </row>
    <row r="2171" spans="10:11" ht="15.75" customHeight="1">
      <c r="J2171" s="4"/>
      <c r="K2171" s="4"/>
    </row>
    <row r="2172" spans="10:11" ht="15.75" customHeight="1">
      <c r="J2172" s="4"/>
      <c r="K2172" s="4"/>
    </row>
    <row r="2173" spans="10:11" ht="15.75" customHeight="1">
      <c r="J2173" s="4"/>
      <c r="K2173" s="4"/>
    </row>
    <row r="2174" spans="10:11" ht="15.75" customHeight="1">
      <c r="J2174" s="4"/>
      <c r="K2174" s="4"/>
    </row>
    <row r="2175" spans="10:11" ht="15.75" customHeight="1">
      <c r="J2175" s="4"/>
      <c r="K2175" s="4"/>
    </row>
    <row r="2176" spans="10:11" ht="15.75" customHeight="1">
      <c r="J2176" s="4"/>
      <c r="K2176" s="4"/>
    </row>
    <row r="2177" spans="10:11" ht="15.75" customHeight="1">
      <c r="J2177" s="4"/>
      <c r="K2177" s="4"/>
    </row>
    <row r="2178" spans="10:11" ht="15.75" customHeight="1">
      <c r="J2178" s="4"/>
      <c r="K2178" s="4"/>
    </row>
    <row r="2179" spans="10:11" ht="15.75" customHeight="1">
      <c r="J2179" s="4"/>
      <c r="K2179" s="4"/>
    </row>
    <row r="2180" spans="10:11" ht="15.75" customHeight="1">
      <c r="J2180" s="4"/>
      <c r="K2180" s="4"/>
    </row>
    <row r="2181" spans="10:11" ht="15.75" customHeight="1">
      <c r="J2181" s="4"/>
      <c r="K2181" s="4"/>
    </row>
    <row r="2182" spans="10:11" ht="15.75" customHeight="1">
      <c r="J2182" s="4"/>
      <c r="K2182" s="4"/>
    </row>
    <row r="2183" spans="10:11" ht="15.75" customHeight="1">
      <c r="J2183" s="4"/>
      <c r="K2183" s="4"/>
    </row>
    <row r="2184" spans="10:11" ht="15.75" customHeight="1">
      <c r="J2184" s="4"/>
      <c r="K2184" s="4"/>
    </row>
    <row r="2185" spans="10:11" ht="15.75" customHeight="1">
      <c r="J2185" s="4"/>
      <c r="K2185" s="4"/>
    </row>
    <row r="2186" spans="10:11" ht="15.75" customHeight="1">
      <c r="J2186" s="4"/>
      <c r="K2186" s="4"/>
    </row>
    <row r="2187" spans="10:11" ht="15.75" customHeight="1">
      <c r="J2187" s="4"/>
      <c r="K2187" s="4"/>
    </row>
    <row r="2188" spans="10:11" ht="15.75" customHeight="1">
      <c r="J2188" s="4"/>
      <c r="K2188" s="4"/>
    </row>
    <row r="2189" spans="10:11" ht="15.75" customHeight="1">
      <c r="J2189" s="4"/>
      <c r="K2189" s="4"/>
    </row>
    <row r="2190" spans="10:11" ht="15.75" customHeight="1">
      <c r="J2190" s="4"/>
      <c r="K2190" s="4"/>
    </row>
    <row r="2191" spans="10:11" ht="15.75" customHeight="1">
      <c r="J2191" s="4"/>
      <c r="K2191" s="4"/>
    </row>
    <row r="2192" spans="10:11" ht="15.75" customHeight="1">
      <c r="J2192" s="4"/>
      <c r="K2192" s="4"/>
    </row>
    <row r="2193" spans="10:11" ht="15.75" customHeight="1">
      <c r="J2193" s="4"/>
      <c r="K2193" s="4"/>
    </row>
    <row r="2194" spans="10:11" ht="15.75" customHeight="1">
      <c r="J2194" s="4"/>
      <c r="K2194" s="4"/>
    </row>
    <row r="2195" spans="10:11" ht="15.75" customHeight="1">
      <c r="J2195" s="4"/>
      <c r="K2195" s="4"/>
    </row>
    <row r="2196" spans="10:11" ht="15.75" customHeight="1">
      <c r="J2196" s="4"/>
      <c r="K2196" s="4"/>
    </row>
    <row r="2197" spans="10:11" ht="15.75" customHeight="1">
      <c r="J2197" s="4"/>
      <c r="K2197" s="4"/>
    </row>
    <row r="2198" spans="10:11" ht="15.75" customHeight="1">
      <c r="J2198" s="4"/>
      <c r="K2198" s="4"/>
    </row>
    <row r="2199" spans="10:11" ht="15.75" customHeight="1">
      <c r="J2199" s="4"/>
      <c r="K2199" s="4"/>
    </row>
    <row r="2200" spans="10:11" ht="15.75" customHeight="1">
      <c r="J2200" s="4"/>
      <c r="K2200" s="4"/>
    </row>
    <row r="2201" spans="10:11" ht="15.75" customHeight="1">
      <c r="J2201" s="4"/>
      <c r="K2201" s="4"/>
    </row>
    <row r="2202" spans="10:11" ht="15.75" customHeight="1">
      <c r="J2202" s="4"/>
      <c r="K2202" s="4"/>
    </row>
    <row r="2203" spans="10:11" ht="15.75" customHeight="1">
      <c r="J2203" s="4"/>
      <c r="K2203" s="4"/>
    </row>
    <row r="2204" spans="10:11" ht="15.75" customHeight="1">
      <c r="J2204" s="4"/>
      <c r="K2204" s="4"/>
    </row>
    <row r="2205" spans="10:11" ht="15.75" customHeight="1">
      <c r="J2205" s="4"/>
      <c r="K2205" s="4"/>
    </row>
    <row r="2206" spans="10:11" ht="15.75" customHeight="1">
      <c r="J2206" s="4"/>
      <c r="K2206" s="4"/>
    </row>
    <row r="2207" spans="10:11" ht="15.75" customHeight="1">
      <c r="J2207" s="4"/>
      <c r="K2207" s="4"/>
    </row>
    <row r="2208" spans="10:11" ht="15.75" customHeight="1">
      <c r="J2208" s="4"/>
      <c r="K2208" s="4"/>
    </row>
    <row r="2209" spans="10:11" ht="15.75" customHeight="1">
      <c r="J2209" s="4"/>
      <c r="K2209" s="4"/>
    </row>
    <row r="2210" spans="10:11" ht="15.75" customHeight="1">
      <c r="J2210" s="4"/>
      <c r="K2210" s="4"/>
    </row>
    <row r="2211" spans="10:11" ht="15.75" customHeight="1">
      <c r="J2211" s="4"/>
      <c r="K2211" s="4"/>
    </row>
    <row r="2212" spans="10:11" ht="15.75" customHeight="1">
      <c r="J2212" s="4"/>
      <c r="K2212" s="4"/>
    </row>
    <row r="2213" spans="10:11" ht="15.75" customHeight="1">
      <c r="J2213" s="4"/>
      <c r="K2213" s="4"/>
    </row>
    <row r="2214" spans="10:11" ht="15.75" customHeight="1">
      <c r="J2214" s="4"/>
      <c r="K2214" s="4"/>
    </row>
    <row r="2215" spans="10:11" ht="15.75" customHeight="1">
      <c r="J2215" s="4"/>
      <c r="K2215" s="4"/>
    </row>
    <row r="2216" spans="10:11" ht="15.75" customHeight="1">
      <c r="J2216" s="4"/>
      <c r="K2216" s="4"/>
    </row>
    <row r="2217" spans="10:11" ht="15.75" customHeight="1">
      <c r="J2217" s="4"/>
      <c r="K2217" s="4"/>
    </row>
    <row r="2218" spans="10:11" ht="15.75" customHeight="1">
      <c r="J2218" s="4"/>
      <c r="K2218" s="4"/>
    </row>
    <row r="2219" spans="10:11" ht="15.75" customHeight="1">
      <c r="J2219" s="4"/>
      <c r="K2219" s="4"/>
    </row>
    <row r="2220" spans="10:11" ht="15.75" customHeight="1">
      <c r="J2220" s="4"/>
      <c r="K2220" s="4"/>
    </row>
    <row r="2221" spans="10:11" ht="15.75" customHeight="1">
      <c r="J2221" s="4"/>
      <c r="K2221" s="4"/>
    </row>
    <row r="2222" spans="10:11" ht="15.75" customHeight="1">
      <c r="J2222" s="4"/>
      <c r="K2222" s="4"/>
    </row>
    <row r="2223" spans="10:11" ht="15.75" customHeight="1">
      <c r="J2223" s="4"/>
      <c r="K2223" s="4"/>
    </row>
    <row r="2224" spans="10:11" ht="15.75" customHeight="1">
      <c r="J2224" s="4"/>
      <c r="K2224" s="4"/>
    </row>
    <row r="2225" spans="10:11" ht="15.75" customHeight="1">
      <c r="J2225" s="4"/>
      <c r="K2225" s="4"/>
    </row>
    <row r="2226" spans="10:11" ht="15.75" customHeight="1">
      <c r="J2226" s="4"/>
      <c r="K2226" s="4"/>
    </row>
    <row r="2227" spans="10:11" ht="15.75" customHeight="1">
      <c r="J2227" s="4"/>
      <c r="K2227" s="4"/>
    </row>
    <row r="2228" spans="10:11" ht="15.75" customHeight="1">
      <c r="J2228" s="4"/>
      <c r="K2228" s="4"/>
    </row>
    <row r="2229" spans="10:11" ht="15.75" customHeight="1">
      <c r="J2229" s="4"/>
      <c r="K2229" s="4"/>
    </row>
    <row r="2230" spans="10:11" ht="15.75" customHeight="1">
      <c r="J2230" s="4"/>
      <c r="K2230" s="4"/>
    </row>
    <row r="2231" spans="10:11" ht="15.75" customHeight="1">
      <c r="J2231" s="4"/>
      <c r="K2231" s="4"/>
    </row>
    <row r="2232" spans="10:11" ht="15.75" customHeight="1">
      <c r="J2232" s="4"/>
      <c r="K2232" s="4"/>
    </row>
    <row r="2233" spans="10:11" ht="15.75" customHeight="1">
      <c r="J2233" s="4"/>
      <c r="K2233" s="4"/>
    </row>
    <row r="2234" spans="10:11" ht="15.75" customHeight="1">
      <c r="J2234" s="4"/>
      <c r="K2234" s="4"/>
    </row>
    <row r="2235" spans="10:11" ht="15.75" customHeight="1">
      <c r="J2235" s="4"/>
      <c r="K2235" s="4"/>
    </row>
    <row r="2236" spans="10:11" ht="15.75" customHeight="1">
      <c r="J2236" s="4"/>
      <c r="K2236" s="4"/>
    </row>
    <row r="2237" spans="10:11" ht="15.75" customHeight="1">
      <c r="J2237" s="4"/>
      <c r="K2237" s="4"/>
    </row>
    <row r="2238" spans="10:11" ht="15.75" customHeight="1">
      <c r="J2238" s="4"/>
      <c r="K2238" s="4"/>
    </row>
    <row r="2239" spans="10:11" ht="15.75" customHeight="1">
      <c r="J2239" s="4"/>
      <c r="K2239" s="4"/>
    </row>
    <row r="2240" spans="10:11" ht="15.75" customHeight="1">
      <c r="J2240" s="4"/>
      <c r="K2240" s="4"/>
    </row>
    <row r="2241" spans="10:11" ht="15.75" customHeight="1">
      <c r="J2241" s="4"/>
      <c r="K2241" s="4"/>
    </row>
    <row r="2242" spans="10:11" ht="15.75" customHeight="1">
      <c r="J2242" s="4"/>
      <c r="K2242" s="4"/>
    </row>
    <row r="2243" spans="10:11" ht="15.75" customHeight="1">
      <c r="J2243" s="4"/>
      <c r="K2243" s="4"/>
    </row>
    <row r="2244" spans="10:11" ht="15.75" customHeight="1">
      <c r="J2244" s="4"/>
      <c r="K2244" s="4"/>
    </row>
    <row r="2245" spans="10:11" ht="15.75" customHeight="1">
      <c r="J2245" s="4"/>
      <c r="K2245" s="4"/>
    </row>
    <row r="2246" spans="10:11" ht="15.75" customHeight="1">
      <c r="J2246" s="4"/>
      <c r="K2246" s="4"/>
    </row>
    <row r="2247" spans="10:11" ht="15.75" customHeight="1">
      <c r="J2247" s="4"/>
      <c r="K2247" s="4"/>
    </row>
    <row r="2248" spans="10:11" ht="15.75" customHeight="1">
      <c r="J2248" s="4"/>
      <c r="K2248" s="4"/>
    </row>
    <row r="2249" spans="10:11" ht="15.75" customHeight="1">
      <c r="J2249" s="4"/>
      <c r="K2249" s="4"/>
    </row>
    <row r="2250" spans="10:11" ht="15.75" customHeight="1">
      <c r="J2250" s="4"/>
      <c r="K2250" s="4"/>
    </row>
    <row r="2251" spans="10:11" ht="15.75" customHeight="1">
      <c r="J2251" s="4"/>
      <c r="K2251" s="4"/>
    </row>
    <row r="2252" spans="10:11" ht="15.75" customHeight="1">
      <c r="J2252" s="4"/>
      <c r="K2252" s="4"/>
    </row>
    <row r="2253" spans="10:11" ht="15.75" customHeight="1">
      <c r="J2253" s="4"/>
      <c r="K2253" s="4"/>
    </row>
    <row r="2254" spans="10:11" ht="15.75" customHeight="1">
      <c r="J2254" s="4"/>
      <c r="K2254" s="4"/>
    </row>
    <row r="2255" spans="10:11" ht="15.75" customHeight="1">
      <c r="J2255" s="4"/>
      <c r="K2255" s="4"/>
    </row>
    <row r="2256" spans="10:11" ht="15.75" customHeight="1">
      <c r="J2256" s="4"/>
      <c r="K2256" s="4"/>
    </row>
    <row r="2257" spans="10:11" ht="15.75" customHeight="1">
      <c r="J2257" s="4"/>
      <c r="K2257" s="4"/>
    </row>
    <row r="2258" spans="10:11" ht="15.75" customHeight="1">
      <c r="J2258" s="4"/>
      <c r="K2258" s="4"/>
    </row>
    <row r="2259" spans="10:11" ht="15.75" customHeight="1">
      <c r="J2259" s="4"/>
      <c r="K2259" s="4"/>
    </row>
    <row r="2260" spans="10:11" ht="15.75" customHeight="1">
      <c r="J2260" s="4"/>
      <c r="K2260" s="4"/>
    </row>
    <row r="2261" spans="10:11" ht="15.75" customHeight="1">
      <c r="J2261" s="4"/>
      <c r="K2261" s="4"/>
    </row>
    <row r="2262" spans="10:11" ht="15.75" customHeight="1">
      <c r="J2262" s="4"/>
      <c r="K2262" s="4"/>
    </row>
    <row r="2263" spans="10:11" ht="15.75" customHeight="1">
      <c r="J2263" s="4"/>
      <c r="K2263" s="4"/>
    </row>
    <row r="2264" spans="10:11" ht="15.75" customHeight="1">
      <c r="J2264" s="4"/>
      <c r="K2264" s="4"/>
    </row>
    <row r="2265" spans="10:11" ht="15.75" customHeight="1">
      <c r="J2265" s="4"/>
      <c r="K2265" s="4"/>
    </row>
    <row r="2266" spans="10:11" ht="15.75" customHeight="1">
      <c r="J2266" s="4"/>
      <c r="K2266" s="4"/>
    </row>
    <row r="2267" spans="10:11" ht="15.75" customHeight="1">
      <c r="J2267" s="4"/>
      <c r="K2267" s="4"/>
    </row>
    <row r="2268" spans="10:11" ht="15.75" customHeight="1">
      <c r="J2268" s="4"/>
      <c r="K2268" s="4"/>
    </row>
    <row r="2269" spans="10:11" ht="15.75" customHeight="1">
      <c r="J2269" s="4"/>
      <c r="K2269" s="4"/>
    </row>
    <row r="2270" spans="10:11" ht="15.75" customHeight="1">
      <c r="J2270" s="4"/>
      <c r="K2270" s="4"/>
    </row>
    <row r="2271" spans="10:11" ht="15.75" customHeight="1">
      <c r="J2271" s="4"/>
      <c r="K2271" s="4"/>
    </row>
    <row r="2272" spans="10:11" ht="15.75" customHeight="1">
      <c r="J2272" s="4"/>
      <c r="K2272" s="4"/>
    </row>
    <row r="2273" spans="10:11" ht="15.75" customHeight="1">
      <c r="J2273" s="4"/>
      <c r="K2273" s="4"/>
    </row>
    <row r="2274" spans="10:11" ht="15.75" customHeight="1">
      <c r="J2274" s="4"/>
      <c r="K2274" s="4"/>
    </row>
    <row r="2275" spans="10:11" ht="15.75" customHeight="1">
      <c r="J2275" s="4"/>
      <c r="K2275" s="4"/>
    </row>
    <row r="2276" spans="10:11" ht="15.75" customHeight="1">
      <c r="J2276" s="4"/>
      <c r="K2276" s="4"/>
    </row>
    <row r="2277" spans="10:11" ht="15.75" customHeight="1">
      <c r="J2277" s="4"/>
      <c r="K2277" s="4"/>
    </row>
    <row r="2278" spans="10:11" ht="15.75" customHeight="1">
      <c r="J2278" s="4"/>
      <c r="K2278" s="4"/>
    </row>
    <row r="2279" spans="10:11" ht="15.75" customHeight="1">
      <c r="J2279" s="4"/>
      <c r="K2279" s="4"/>
    </row>
    <row r="2280" spans="10:11" ht="15.75" customHeight="1">
      <c r="J2280" s="4"/>
      <c r="K2280" s="4"/>
    </row>
    <row r="2281" spans="10:11" ht="15.75" customHeight="1">
      <c r="J2281" s="4"/>
      <c r="K2281" s="4"/>
    </row>
    <row r="2282" spans="10:11" ht="15.75" customHeight="1">
      <c r="J2282" s="4"/>
      <c r="K2282" s="4"/>
    </row>
    <row r="2283" spans="10:11" ht="15.75" customHeight="1">
      <c r="J2283" s="4"/>
      <c r="K2283" s="4"/>
    </row>
    <row r="2284" spans="10:11" ht="15.75" customHeight="1">
      <c r="J2284" s="4"/>
      <c r="K2284" s="4"/>
    </row>
    <row r="2285" spans="10:11" ht="15.75" customHeight="1">
      <c r="J2285" s="4"/>
      <c r="K2285" s="4"/>
    </row>
    <row r="2286" spans="10:11" ht="15.75" customHeight="1">
      <c r="J2286" s="4"/>
      <c r="K2286" s="4"/>
    </row>
    <row r="2287" spans="10:11" ht="15.75" customHeight="1">
      <c r="J2287" s="4"/>
      <c r="K2287" s="4"/>
    </row>
    <row r="2288" spans="10:11" ht="15.75" customHeight="1">
      <c r="J2288" s="4"/>
      <c r="K2288" s="4"/>
    </row>
    <row r="2289" spans="10:11" ht="15.75" customHeight="1">
      <c r="J2289" s="4"/>
      <c r="K2289" s="4"/>
    </row>
    <row r="2290" spans="10:11" ht="15.75" customHeight="1">
      <c r="J2290" s="4"/>
      <c r="K2290" s="4"/>
    </row>
    <row r="2291" spans="10:11" ht="15.75" customHeight="1">
      <c r="J2291" s="4"/>
      <c r="K2291" s="4"/>
    </row>
    <row r="2292" spans="10:11" ht="15.75" customHeight="1">
      <c r="J2292" s="4"/>
      <c r="K2292" s="4"/>
    </row>
    <row r="2293" spans="10:11" ht="15.75" customHeight="1">
      <c r="J2293" s="4"/>
      <c r="K2293" s="4"/>
    </row>
    <row r="2294" spans="10:11" ht="15.75" customHeight="1">
      <c r="J2294" s="4"/>
      <c r="K2294" s="4"/>
    </row>
    <row r="2295" spans="10:11" ht="15.75" customHeight="1">
      <c r="J2295" s="4"/>
      <c r="K2295" s="4"/>
    </row>
    <row r="2296" spans="10:11" ht="15.75" customHeight="1">
      <c r="J2296" s="4"/>
      <c r="K2296" s="4"/>
    </row>
    <row r="2297" spans="10:11" ht="15.75" customHeight="1">
      <c r="J2297" s="4"/>
      <c r="K2297" s="4"/>
    </row>
    <row r="2298" spans="10:11" ht="15.75" customHeight="1">
      <c r="J2298" s="4"/>
      <c r="K2298" s="4"/>
    </row>
    <row r="2299" spans="10:11" ht="15.75" customHeight="1">
      <c r="J2299" s="4"/>
      <c r="K2299" s="4"/>
    </row>
    <row r="2300" spans="10:11" ht="15.75" customHeight="1">
      <c r="J2300" s="4"/>
      <c r="K2300" s="4"/>
    </row>
    <row r="2301" spans="10:11" ht="15.75" customHeight="1">
      <c r="J2301" s="4"/>
      <c r="K2301" s="4"/>
    </row>
    <row r="2302" spans="10:11" ht="15.75" customHeight="1">
      <c r="J2302" s="4"/>
      <c r="K2302" s="4"/>
    </row>
    <row r="2303" spans="10:11" ht="15.75" customHeight="1">
      <c r="J2303" s="4"/>
      <c r="K2303" s="4"/>
    </row>
    <row r="2304" spans="10:11" ht="15.75" customHeight="1">
      <c r="J2304" s="4"/>
      <c r="K2304" s="4"/>
    </row>
    <row r="2305" spans="10:11" ht="15.75" customHeight="1">
      <c r="J2305" s="4"/>
      <c r="K2305" s="4"/>
    </row>
    <row r="2306" spans="10:11" ht="15.75" customHeight="1">
      <c r="J2306" s="4"/>
      <c r="K2306" s="4"/>
    </row>
    <row r="2307" spans="10:11" ht="15.75" customHeight="1">
      <c r="J2307" s="4"/>
      <c r="K2307" s="4"/>
    </row>
    <row r="2308" spans="10:11" ht="15.75" customHeight="1">
      <c r="J2308" s="4"/>
      <c r="K2308" s="4"/>
    </row>
    <row r="2309" spans="10:11" ht="15.75" customHeight="1">
      <c r="J2309" s="4"/>
      <c r="K2309" s="4"/>
    </row>
    <row r="2310" spans="10:11" ht="15.75" customHeight="1">
      <c r="J2310" s="4"/>
      <c r="K2310" s="4"/>
    </row>
    <row r="2311" spans="10:11" ht="15.75" customHeight="1">
      <c r="J2311" s="4"/>
      <c r="K2311" s="4"/>
    </row>
    <row r="2312" spans="10:11" ht="15.75" customHeight="1">
      <c r="J2312" s="4"/>
      <c r="K2312" s="4"/>
    </row>
    <row r="2313" spans="10:11" ht="15.75" customHeight="1">
      <c r="J2313" s="4"/>
      <c r="K2313" s="4"/>
    </row>
    <row r="2314" spans="10:11" ht="15.75" customHeight="1">
      <c r="J2314" s="4"/>
      <c r="K2314" s="4"/>
    </row>
    <row r="2315" spans="10:11" ht="15.75" customHeight="1">
      <c r="J2315" s="4"/>
      <c r="K2315" s="4"/>
    </row>
    <row r="2316" spans="10:11" ht="15.75" customHeight="1">
      <c r="J2316" s="4"/>
      <c r="K2316" s="4"/>
    </row>
    <row r="2317" spans="10:11" ht="15.75" customHeight="1">
      <c r="J2317" s="4"/>
      <c r="K2317" s="4"/>
    </row>
    <row r="2318" spans="10:11" ht="15.75" customHeight="1">
      <c r="J2318" s="4"/>
      <c r="K2318" s="4"/>
    </row>
    <row r="2319" spans="10:11" ht="15.75" customHeight="1">
      <c r="J2319" s="4"/>
      <c r="K2319" s="4"/>
    </row>
    <row r="2320" spans="10:11" ht="15.75" customHeight="1">
      <c r="J2320" s="4"/>
      <c r="K2320" s="4"/>
    </row>
    <row r="2321" spans="10:11" ht="15.75" customHeight="1">
      <c r="J2321" s="4"/>
      <c r="K2321" s="4"/>
    </row>
    <row r="2322" spans="10:11" ht="15.75" customHeight="1">
      <c r="J2322" s="4"/>
      <c r="K2322" s="4"/>
    </row>
    <row r="2323" spans="10:11" ht="15.75" customHeight="1">
      <c r="J2323" s="4"/>
      <c r="K2323" s="4"/>
    </row>
    <row r="2324" spans="10:11" ht="15.75" customHeight="1">
      <c r="J2324" s="4"/>
      <c r="K2324" s="4"/>
    </row>
    <row r="2325" spans="10:11" ht="15.75" customHeight="1">
      <c r="J2325" s="4"/>
      <c r="K2325" s="4"/>
    </row>
    <row r="2326" spans="10:11" ht="15.75" customHeight="1">
      <c r="J2326" s="4"/>
      <c r="K2326" s="4"/>
    </row>
    <row r="2327" spans="10:11" ht="15.75" customHeight="1">
      <c r="J2327" s="4"/>
      <c r="K2327" s="4"/>
    </row>
    <row r="2328" spans="10:11" ht="15.75" customHeight="1">
      <c r="J2328" s="4"/>
      <c r="K2328" s="4"/>
    </row>
    <row r="2329" spans="10:11" ht="15.75" customHeight="1">
      <c r="J2329" s="4"/>
      <c r="K2329" s="4"/>
    </row>
    <row r="2330" spans="10:11" ht="15.75" customHeight="1">
      <c r="J2330" s="4"/>
      <c r="K2330" s="4"/>
    </row>
    <row r="2331" spans="10:11" ht="15.75" customHeight="1">
      <c r="J2331" s="4"/>
      <c r="K2331" s="4"/>
    </row>
    <row r="2332" spans="10:11" ht="15.75" customHeight="1">
      <c r="J2332" s="4"/>
      <c r="K2332" s="4"/>
    </row>
    <row r="2333" spans="10:11" ht="15.75" customHeight="1">
      <c r="J2333" s="4"/>
      <c r="K2333" s="4"/>
    </row>
    <row r="2334" spans="10:11" ht="15.75" customHeight="1">
      <c r="J2334" s="4"/>
      <c r="K2334" s="4"/>
    </row>
    <row r="2335" spans="10:11" ht="15.75" customHeight="1">
      <c r="J2335" s="4"/>
      <c r="K2335" s="4"/>
    </row>
    <row r="2336" spans="10:11" ht="15.75" customHeight="1">
      <c r="J2336" s="4"/>
      <c r="K2336" s="4"/>
    </row>
    <row r="2337" spans="10:11" ht="15.75" customHeight="1">
      <c r="J2337" s="4"/>
      <c r="K2337" s="4"/>
    </row>
    <row r="2338" spans="10:11" ht="15.75" customHeight="1">
      <c r="J2338" s="4"/>
      <c r="K2338" s="4"/>
    </row>
    <row r="2339" spans="10:11" ht="15.75" customHeight="1">
      <c r="J2339" s="4"/>
      <c r="K2339" s="4"/>
    </row>
    <row r="2340" spans="10:11" ht="15.75" customHeight="1">
      <c r="J2340" s="4"/>
      <c r="K2340" s="4"/>
    </row>
    <row r="2341" spans="10:11" ht="15.75" customHeight="1">
      <c r="J2341" s="4"/>
      <c r="K2341" s="4"/>
    </row>
    <row r="2342" spans="10:11" ht="15.75" customHeight="1">
      <c r="J2342" s="4"/>
      <c r="K2342" s="4"/>
    </row>
    <row r="2343" spans="10:11" ht="15.75" customHeight="1">
      <c r="J2343" s="4"/>
      <c r="K2343" s="4"/>
    </row>
    <row r="2344" spans="10:11" ht="15.75" customHeight="1">
      <c r="J2344" s="4"/>
      <c r="K2344" s="4"/>
    </row>
    <row r="2345" spans="10:11" ht="15.75" customHeight="1">
      <c r="J2345" s="4"/>
      <c r="K2345" s="4"/>
    </row>
    <row r="2346" spans="10:11" ht="15.75" customHeight="1">
      <c r="J2346" s="4"/>
      <c r="K2346" s="4"/>
    </row>
    <row r="2347" spans="10:11" ht="15.75" customHeight="1">
      <c r="J2347" s="4"/>
      <c r="K2347" s="4"/>
    </row>
    <row r="2348" spans="10:11" ht="15.75" customHeight="1">
      <c r="J2348" s="4"/>
      <c r="K2348" s="4"/>
    </row>
    <row r="2349" spans="10:11" ht="15.75" customHeight="1">
      <c r="J2349" s="4"/>
      <c r="K2349" s="4"/>
    </row>
    <row r="2350" spans="10:11" ht="15.75" customHeight="1">
      <c r="J2350" s="4"/>
      <c r="K2350" s="4"/>
    </row>
    <row r="2351" spans="10:11" ht="15.75" customHeight="1">
      <c r="J2351" s="4"/>
      <c r="K2351" s="4"/>
    </row>
    <row r="2352" spans="10:11" ht="15.75" customHeight="1">
      <c r="J2352" s="4"/>
      <c r="K2352" s="4"/>
    </row>
    <row r="2353" spans="10:11" ht="15.75" customHeight="1">
      <c r="J2353" s="4"/>
      <c r="K2353" s="4"/>
    </row>
    <row r="2354" spans="10:11" ht="15.75" customHeight="1">
      <c r="J2354" s="4"/>
      <c r="K2354" s="4"/>
    </row>
    <row r="2355" spans="10:11" ht="15.75" customHeight="1">
      <c r="J2355" s="4"/>
      <c r="K2355" s="4"/>
    </row>
    <row r="2356" spans="10:11" ht="15.75" customHeight="1">
      <c r="J2356" s="4"/>
      <c r="K2356" s="4"/>
    </row>
    <row r="2357" spans="10:11" ht="15.75" customHeight="1">
      <c r="J2357" s="4"/>
      <c r="K2357" s="4"/>
    </row>
    <row r="2358" spans="10:11" ht="15.75" customHeight="1">
      <c r="J2358" s="4"/>
      <c r="K2358" s="4"/>
    </row>
    <row r="2359" spans="10:11" ht="15.75" customHeight="1">
      <c r="J2359" s="4"/>
      <c r="K2359" s="4"/>
    </row>
    <row r="2360" spans="10:11" ht="15.75" customHeight="1">
      <c r="J2360" s="4"/>
      <c r="K2360" s="4"/>
    </row>
    <row r="2361" spans="10:11" ht="15.75" customHeight="1">
      <c r="J2361" s="4"/>
      <c r="K2361" s="4"/>
    </row>
    <row r="2362" spans="10:11" ht="15.75" customHeight="1">
      <c r="J2362" s="4"/>
      <c r="K2362" s="4"/>
    </row>
    <row r="2363" spans="10:11" ht="15.75" customHeight="1">
      <c r="J2363" s="4"/>
      <c r="K2363" s="4"/>
    </row>
    <row r="2364" spans="10:11" ht="15.75" customHeight="1">
      <c r="J2364" s="4"/>
      <c r="K2364" s="4"/>
    </row>
    <row r="2365" spans="10:11" ht="15.75" customHeight="1">
      <c r="J2365" s="4"/>
      <c r="K2365" s="4"/>
    </row>
    <row r="2366" spans="10:11" ht="15.75" customHeight="1">
      <c r="J2366" s="4"/>
      <c r="K2366" s="4"/>
    </row>
    <row r="2367" spans="10:11" ht="15.75" customHeight="1">
      <c r="J2367" s="4"/>
      <c r="K2367" s="4"/>
    </row>
    <row r="2368" spans="10:11" ht="15.75" customHeight="1">
      <c r="J2368" s="4"/>
      <c r="K2368" s="4"/>
    </row>
    <row r="2369" spans="10:11" ht="15.75" customHeight="1">
      <c r="J2369" s="4"/>
      <c r="K2369" s="4"/>
    </row>
    <row r="2370" spans="10:11" ht="15.75" customHeight="1">
      <c r="J2370" s="4"/>
      <c r="K2370" s="4"/>
    </row>
    <row r="2371" spans="10:11" ht="15.75" customHeight="1">
      <c r="J2371" s="4"/>
      <c r="K2371" s="4"/>
    </row>
    <row r="2372" spans="10:11" ht="15.75" customHeight="1">
      <c r="J2372" s="4"/>
      <c r="K2372" s="4"/>
    </row>
    <row r="2373" spans="10:11" ht="15.75" customHeight="1">
      <c r="J2373" s="4"/>
      <c r="K2373" s="4"/>
    </row>
    <row r="2374" spans="10:11" ht="15.75" customHeight="1">
      <c r="J2374" s="4"/>
      <c r="K2374" s="4"/>
    </row>
    <row r="2375" spans="10:11" ht="15.75" customHeight="1">
      <c r="J2375" s="4"/>
      <c r="K2375" s="4"/>
    </row>
    <row r="2376" spans="10:11" ht="15.75" customHeight="1">
      <c r="J2376" s="4"/>
      <c r="K2376" s="4"/>
    </row>
    <row r="2377" spans="10:11" ht="15.75" customHeight="1">
      <c r="J2377" s="4"/>
      <c r="K2377" s="4"/>
    </row>
    <row r="2378" spans="10:11" ht="15.75" customHeight="1">
      <c r="J2378" s="4"/>
      <c r="K2378" s="4"/>
    </row>
    <row r="2379" spans="10:11" ht="15.75" customHeight="1">
      <c r="J2379" s="4"/>
      <c r="K2379" s="4"/>
    </row>
    <row r="2380" spans="10:11" ht="15.75" customHeight="1">
      <c r="J2380" s="4"/>
      <c r="K2380" s="4"/>
    </row>
    <row r="2381" spans="10:11" ht="15.75" customHeight="1">
      <c r="J2381" s="4"/>
      <c r="K2381" s="4"/>
    </row>
    <row r="2382" spans="10:11" ht="15.75" customHeight="1">
      <c r="J2382" s="4"/>
      <c r="K2382" s="4"/>
    </row>
    <row r="2383" spans="10:11" ht="15.75" customHeight="1">
      <c r="J2383" s="4"/>
      <c r="K2383" s="4"/>
    </row>
    <row r="2384" spans="10:11" ht="15.75" customHeight="1">
      <c r="J2384" s="4"/>
      <c r="K2384" s="4"/>
    </row>
    <row r="2385" spans="10:11" ht="15.75" customHeight="1">
      <c r="J2385" s="4"/>
      <c r="K2385" s="4"/>
    </row>
    <row r="2386" spans="10:11" ht="15.75" customHeight="1">
      <c r="J2386" s="4"/>
      <c r="K2386" s="4"/>
    </row>
    <row r="2387" spans="10:11" ht="15.75" customHeight="1">
      <c r="J2387" s="4"/>
      <c r="K2387" s="4"/>
    </row>
    <row r="2388" spans="10:11" ht="15.75" customHeight="1">
      <c r="J2388" s="4"/>
      <c r="K2388" s="4"/>
    </row>
    <row r="2389" spans="10:11" ht="15.75" customHeight="1">
      <c r="J2389" s="4"/>
      <c r="K2389" s="4"/>
    </row>
    <row r="2390" spans="10:11" ht="15.75" customHeight="1">
      <c r="J2390" s="4"/>
      <c r="K2390" s="4"/>
    </row>
    <row r="2391" spans="10:11" ht="15.75" customHeight="1">
      <c r="J2391" s="4"/>
      <c r="K2391" s="4"/>
    </row>
    <row r="2392" spans="10:11" ht="15.75" customHeight="1">
      <c r="J2392" s="4"/>
      <c r="K2392" s="4"/>
    </row>
    <row r="2393" spans="10:11" ht="15.75" customHeight="1">
      <c r="J2393" s="4"/>
      <c r="K2393" s="4"/>
    </row>
    <row r="2394" spans="10:11" ht="15.75" customHeight="1">
      <c r="J2394" s="4"/>
      <c r="K2394" s="4"/>
    </row>
    <row r="2395" spans="10:11" ht="15.75" customHeight="1">
      <c r="J2395" s="4"/>
      <c r="K2395" s="4"/>
    </row>
    <row r="2396" spans="10:11" ht="15.75" customHeight="1">
      <c r="J2396" s="4"/>
      <c r="K2396" s="4"/>
    </row>
    <row r="2397" spans="10:11" ht="15.75" customHeight="1">
      <c r="J2397" s="4"/>
      <c r="K2397" s="4"/>
    </row>
    <row r="2398" spans="10:11" ht="15.75" customHeight="1">
      <c r="J2398" s="4"/>
      <c r="K2398" s="4"/>
    </row>
    <row r="2399" spans="10:11" ht="15.75" customHeight="1">
      <c r="J2399" s="4"/>
      <c r="K2399" s="4"/>
    </row>
    <row r="2400" spans="10:11" ht="15.75" customHeight="1">
      <c r="J2400" s="4"/>
      <c r="K2400" s="4"/>
    </row>
    <row r="2401" spans="10:11" ht="15.75" customHeight="1">
      <c r="J2401" s="4"/>
      <c r="K2401" s="4"/>
    </row>
    <row r="2402" spans="10:11" ht="15.75" customHeight="1">
      <c r="J2402" s="4"/>
      <c r="K2402" s="4"/>
    </row>
    <row r="2403" spans="10:11" ht="15.75" customHeight="1">
      <c r="J2403" s="4"/>
      <c r="K2403" s="4"/>
    </row>
    <row r="2404" spans="10:11" ht="15.75" customHeight="1">
      <c r="J2404" s="4"/>
      <c r="K2404" s="4"/>
    </row>
    <row r="2405" spans="10:11" ht="15.75" customHeight="1">
      <c r="J2405" s="4"/>
      <c r="K2405" s="4"/>
    </row>
    <row r="2406" spans="10:11" ht="15.75" customHeight="1">
      <c r="J2406" s="4"/>
      <c r="K2406" s="4"/>
    </row>
    <row r="2407" spans="10:11" ht="15.75" customHeight="1">
      <c r="J2407" s="4"/>
      <c r="K2407" s="4"/>
    </row>
    <row r="2408" spans="10:11" ht="15.75" customHeight="1">
      <c r="J2408" s="4"/>
      <c r="K2408" s="4"/>
    </row>
    <row r="2409" spans="10:11" ht="15.75" customHeight="1">
      <c r="J2409" s="4"/>
      <c r="K2409" s="4"/>
    </row>
    <row r="2410" spans="10:11" ht="15.75" customHeight="1">
      <c r="J2410" s="4"/>
      <c r="K2410" s="4"/>
    </row>
    <row r="2411" spans="10:11" ht="15.75" customHeight="1">
      <c r="J2411" s="4"/>
      <c r="K2411" s="4"/>
    </row>
    <row r="2412" spans="10:11" ht="15.75" customHeight="1">
      <c r="J2412" s="4"/>
      <c r="K2412" s="4"/>
    </row>
    <row r="2413" spans="10:11" ht="15.75" customHeight="1">
      <c r="J2413" s="4"/>
      <c r="K2413" s="4"/>
    </row>
    <row r="2414" spans="10:11" ht="15.75" customHeight="1">
      <c r="J2414" s="4"/>
      <c r="K2414" s="4"/>
    </row>
    <row r="2415" spans="10:11" ht="15.75" customHeight="1">
      <c r="J2415" s="4"/>
      <c r="K2415" s="4"/>
    </row>
    <row r="2416" spans="10:11" ht="15.75" customHeight="1">
      <c r="J2416" s="4"/>
      <c r="K2416" s="4"/>
    </row>
    <row r="2417" spans="10:11" ht="15.75" customHeight="1">
      <c r="J2417" s="4"/>
      <c r="K2417" s="4"/>
    </row>
    <row r="2418" spans="10:11" ht="15.75" customHeight="1">
      <c r="J2418" s="4"/>
      <c r="K2418" s="4"/>
    </row>
    <row r="2419" spans="10:11" ht="15.75" customHeight="1">
      <c r="J2419" s="4"/>
      <c r="K2419" s="4"/>
    </row>
    <row r="2420" spans="10:11" ht="15.75" customHeight="1">
      <c r="J2420" s="4"/>
      <c r="K2420" s="4"/>
    </row>
    <row r="2421" spans="10:11" ht="15.75" customHeight="1">
      <c r="J2421" s="4"/>
      <c r="K2421" s="4"/>
    </row>
    <row r="2422" spans="10:11" ht="15.75" customHeight="1">
      <c r="J2422" s="4"/>
      <c r="K2422" s="4"/>
    </row>
    <row r="2423" spans="10:11" ht="15.75" customHeight="1">
      <c r="J2423" s="4"/>
      <c r="K2423" s="4"/>
    </row>
    <row r="2424" spans="10:11" ht="15.75" customHeight="1">
      <c r="J2424" s="4"/>
      <c r="K2424" s="4"/>
    </row>
    <row r="2425" spans="10:11" ht="15.75" customHeight="1">
      <c r="J2425" s="4"/>
      <c r="K2425" s="4"/>
    </row>
    <row r="2426" spans="10:11" ht="15.75" customHeight="1">
      <c r="J2426" s="4"/>
      <c r="K2426" s="4"/>
    </row>
    <row r="2427" spans="10:11" ht="15.75" customHeight="1">
      <c r="J2427" s="4"/>
      <c r="K2427" s="4"/>
    </row>
    <row r="2428" spans="10:11" ht="15.75" customHeight="1">
      <c r="J2428" s="4"/>
      <c r="K2428" s="4"/>
    </row>
    <row r="2429" spans="10:11" ht="15.75" customHeight="1">
      <c r="J2429" s="4"/>
      <c r="K2429" s="4"/>
    </row>
    <row r="2430" spans="10:11" ht="15.75" customHeight="1">
      <c r="J2430" s="4"/>
      <c r="K2430" s="4"/>
    </row>
    <row r="2431" spans="10:11" ht="15.75" customHeight="1">
      <c r="J2431" s="4"/>
      <c r="K2431" s="4"/>
    </row>
    <row r="2432" spans="10:11" ht="15.75" customHeight="1">
      <c r="J2432" s="4"/>
      <c r="K2432" s="4"/>
    </row>
    <row r="2433" spans="10:11" ht="15.75" customHeight="1">
      <c r="J2433" s="4"/>
      <c r="K2433" s="4"/>
    </row>
    <row r="2434" spans="10:11" ht="15.75" customHeight="1">
      <c r="J2434" s="4"/>
      <c r="K2434" s="4"/>
    </row>
    <row r="2435" spans="10:11" ht="15.75" customHeight="1">
      <c r="J2435" s="4"/>
      <c r="K2435" s="4"/>
    </row>
    <row r="2436" spans="10:11" ht="15.75" customHeight="1">
      <c r="J2436" s="4"/>
      <c r="K2436" s="4"/>
    </row>
    <row r="2437" spans="10:11" ht="15.75" customHeight="1">
      <c r="J2437" s="4"/>
      <c r="K2437" s="4"/>
    </row>
    <row r="2438" spans="10:11" ht="15.75" customHeight="1">
      <c r="J2438" s="4"/>
      <c r="K2438" s="4"/>
    </row>
    <row r="2439" spans="10:11" ht="15.75" customHeight="1">
      <c r="J2439" s="4"/>
      <c r="K2439" s="4"/>
    </row>
    <row r="2440" spans="10:11" ht="15.75" customHeight="1">
      <c r="J2440" s="4"/>
      <c r="K2440" s="4"/>
    </row>
    <row r="2441" spans="10:11" ht="15.75" customHeight="1">
      <c r="J2441" s="4"/>
      <c r="K2441" s="4"/>
    </row>
    <row r="2442" spans="10:11" ht="15.75" customHeight="1">
      <c r="J2442" s="4"/>
      <c r="K2442" s="4"/>
    </row>
    <row r="2443" spans="10:11" ht="15.75" customHeight="1">
      <c r="J2443" s="4"/>
      <c r="K2443" s="4"/>
    </row>
    <row r="2444" spans="10:11" ht="15.75" customHeight="1">
      <c r="J2444" s="4"/>
      <c r="K2444" s="4"/>
    </row>
    <row r="2445" spans="10:11" ht="15.75" customHeight="1">
      <c r="J2445" s="4"/>
      <c r="K2445" s="4"/>
    </row>
    <row r="2446" spans="10:11" ht="15.75" customHeight="1">
      <c r="J2446" s="4"/>
      <c r="K2446" s="4"/>
    </row>
    <row r="2447" spans="10:11" ht="15.75" customHeight="1">
      <c r="J2447" s="4"/>
      <c r="K2447" s="4"/>
    </row>
    <row r="2448" spans="10:11" ht="15.75" customHeight="1">
      <c r="J2448" s="4"/>
      <c r="K2448" s="4"/>
    </row>
    <row r="2449" spans="10:11" ht="15.75" customHeight="1">
      <c r="J2449" s="4"/>
      <c r="K2449" s="4"/>
    </row>
    <row r="2450" spans="10:11" ht="15.75" customHeight="1">
      <c r="J2450" s="4"/>
      <c r="K2450" s="4"/>
    </row>
    <row r="2451" spans="10:11" ht="15.75" customHeight="1">
      <c r="J2451" s="4"/>
      <c r="K2451" s="4"/>
    </row>
    <row r="2452" spans="10:11" ht="15.75" customHeight="1">
      <c r="J2452" s="4"/>
      <c r="K2452" s="4"/>
    </row>
    <row r="2453" spans="10:11" ht="15.75" customHeight="1">
      <c r="J2453" s="4"/>
      <c r="K2453" s="4"/>
    </row>
    <row r="2454" spans="10:11" ht="15.75" customHeight="1">
      <c r="J2454" s="4"/>
      <c r="K2454" s="4"/>
    </row>
    <row r="2455" spans="10:11" ht="15.75" customHeight="1">
      <c r="J2455" s="4"/>
      <c r="K2455" s="4"/>
    </row>
    <row r="2456" spans="10:11" ht="15.75" customHeight="1">
      <c r="J2456" s="4"/>
      <c r="K2456" s="4"/>
    </row>
    <row r="2457" spans="10:11" ht="15.75" customHeight="1">
      <c r="J2457" s="4"/>
      <c r="K2457" s="4"/>
    </row>
    <row r="2458" spans="10:11" ht="15.75" customHeight="1">
      <c r="J2458" s="4"/>
      <c r="K2458" s="4"/>
    </row>
    <row r="2459" spans="10:11" ht="15.75" customHeight="1">
      <c r="J2459" s="4"/>
      <c r="K2459" s="4"/>
    </row>
    <row r="2460" spans="10:11" ht="15.75" customHeight="1">
      <c r="J2460" s="4"/>
      <c r="K2460" s="4"/>
    </row>
    <row r="2461" spans="10:11" ht="15.75" customHeight="1">
      <c r="J2461" s="4"/>
      <c r="K2461" s="4"/>
    </row>
    <row r="2462" spans="10:11" ht="15.75" customHeight="1">
      <c r="J2462" s="4"/>
      <c r="K2462" s="4"/>
    </row>
    <row r="2463" spans="10:11" ht="15.75" customHeight="1">
      <c r="J2463" s="4"/>
      <c r="K2463" s="4"/>
    </row>
    <row r="2464" spans="10:11" ht="15.75" customHeight="1">
      <c r="J2464" s="4"/>
      <c r="K2464" s="4"/>
    </row>
    <row r="2465" spans="10:11" ht="15.75" customHeight="1">
      <c r="J2465" s="4"/>
      <c r="K2465" s="4"/>
    </row>
    <row r="2466" spans="10:11" ht="15.75" customHeight="1">
      <c r="J2466" s="4"/>
      <c r="K2466" s="4"/>
    </row>
    <row r="2467" spans="10:11" ht="15.75" customHeight="1">
      <c r="J2467" s="4"/>
      <c r="K2467" s="4"/>
    </row>
    <row r="2468" spans="10:11" ht="15.75" customHeight="1">
      <c r="J2468" s="4"/>
      <c r="K2468" s="4"/>
    </row>
    <row r="2469" spans="10:11" ht="15.75" customHeight="1">
      <c r="J2469" s="4"/>
      <c r="K2469" s="4"/>
    </row>
    <row r="2470" spans="10:11" ht="15.75" customHeight="1">
      <c r="J2470" s="4"/>
      <c r="K2470" s="4"/>
    </row>
    <row r="2471" spans="10:11" ht="15.75" customHeight="1">
      <c r="J2471" s="4"/>
      <c r="K2471" s="4"/>
    </row>
    <row r="2472" spans="10:11" ht="15.75" customHeight="1">
      <c r="J2472" s="4"/>
      <c r="K2472" s="4"/>
    </row>
    <row r="2473" spans="10:11" ht="15.75" customHeight="1">
      <c r="J2473" s="4"/>
      <c r="K2473" s="4"/>
    </row>
    <row r="2474" spans="10:11" ht="15.75" customHeight="1">
      <c r="J2474" s="4"/>
      <c r="K2474" s="4"/>
    </row>
    <row r="2475" spans="10:11" ht="15.75" customHeight="1">
      <c r="J2475" s="4"/>
      <c r="K2475" s="4"/>
    </row>
    <row r="2476" spans="10:11" ht="15.75" customHeight="1">
      <c r="J2476" s="4"/>
      <c r="K2476" s="4"/>
    </row>
    <row r="2477" spans="10:11" ht="15.75" customHeight="1">
      <c r="J2477" s="4"/>
      <c r="K2477" s="4"/>
    </row>
    <row r="2478" spans="10:11" ht="15.75" customHeight="1">
      <c r="J2478" s="4"/>
      <c r="K2478" s="4"/>
    </row>
    <row r="2479" spans="10:11" ht="15.75" customHeight="1">
      <c r="J2479" s="4"/>
      <c r="K2479" s="4"/>
    </row>
    <row r="2480" spans="10:11" ht="15.75" customHeight="1">
      <c r="J2480" s="4"/>
      <c r="K2480" s="4"/>
    </row>
    <row r="2481" spans="10:11" ht="15.75" customHeight="1">
      <c r="J2481" s="4"/>
      <c r="K2481" s="4"/>
    </row>
    <row r="2482" spans="10:11" ht="15.75" customHeight="1">
      <c r="J2482" s="4"/>
      <c r="K2482" s="4"/>
    </row>
    <row r="2483" spans="10:11" ht="15.75" customHeight="1">
      <c r="J2483" s="4"/>
      <c r="K2483" s="4"/>
    </row>
    <row r="2484" spans="10:11" ht="15.75" customHeight="1">
      <c r="J2484" s="4"/>
      <c r="K2484" s="4"/>
    </row>
    <row r="2485" spans="10:11" ht="15.75" customHeight="1">
      <c r="J2485" s="4"/>
      <c r="K2485" s="4"/>
    </row>
    <row r="2486" spans="10:11" ht="15.75" customHeight="1">
      <c r="J2486" s="4"/>
      <c r="K2486" s="4"/>
    </row>
    <row r="2487" spans="10:11" ht="15.75" customHeight="1">
      <c r="J2487" s="4"/>
      <c r="K2487" s="4"/>
    </row>
    <row r="2488" spans="10:11" ht="15.75" customHeight="1">
      <c r="J2488" s="4"/>
      <c r="K2488" s="4"/>
    </row>
    <row r="2489" spans="10:11" ht="15.75" customHeight="1">
      <c r="J2489" s="4"/>
      <c r="K2489" s="4"/>
    </row>
    <row r="2490" spans="10:11" ht="15.75" customHeight="1">
      <c r="J2490" s="4"/>
      <c r="K2490" s="4"/>
    </row>
    <row r="2491" spans="10:11" ht="15.75" customHeight="1">
      <c r="J2491" s="4"/>
      <c r="K2491" s="4"/>
    </row>
    <row r="2492" spans="10:11" ht="15.75" customHeight="1">
      <c r="J2492" s="4"/>
      <c r="K2492" s="4"/>
    </row>
    <row r="2493" spans="10:11" ht="15.75" customHeight="1">
      <c r="J2493" s="4"/>
      <c r="K2493" s="4"/>
    </row>
    <row r="2494" spans="10:11" ht="15.75" customHeight="1">
      <c r="J2494" s="4"/>
      <c r="K2494" s="4"/>
    </row>
    <row r="2495" spans="10:11" ht="15.75" customHeight="1">
      <c r="J2495" s="4"/>
      <c r="K2495" s="4"/>
    </row>
    <row r="2496" spans="10:11" ht="15.75" customHeight="1">
      <c r="J2496" s="4"/>
      <c r="K2496" s="4"/>
    </row>
    <row r="2497" spans="10:11" ht="15.75" customHeight="1">
      <c r="J2497" s="4"/>
      <c r="K2497" s="4"/>
    </row>
    <row r="2498" spans="10:11" ht="15.75" customHeight="1">
      <c r="J2498" s="4"/>
      <c r="K2498" s="4"/>
    </row>
    <row r="2499" spans="10:11" ht="15.75" customHeight="1">
      <c r="J2499" s="4"/>
      <c r="K2499" s="4"/>
    </row>
    <row r="2500" spans="10:11" ht="15.75" customHeight="1">
      <c r="J2500" s="4"/>
      <c r="K2500" s="4"/>
    </row>
    <row r="2501" spans="10:11" ht="15.75" customHeight="1">
      <c r="J2501" s="4"/>
      <c r="K2501" s="4"/>
    </row>
    <row r="2502" spans="10:11" ht="15.75" customHeight="1">
      <c r="J2502" s="4"/>
      <c r="K2502" s="4"/>
    </row>
    <row r="2503" spans="10:11" ht="15.75" customHeight="1">
      <c r="J2503" s="4"/>
      <c r="K2503" s="4"/>
    </row>
    <row r="2504" spans="10:11" ht="15.75" customHeight="1">
      <c r="J2504" s="4"/>
      <c r="K2504" s="4"/>
    </row>
    <row r="2505" spans="10:11" ht="15.75" customHeight="1">
      <c r="J2505" s="4"/>
      <c r="K2505" s="4"/>
    </row>
    <row r="2506" spans="10:11" ht="15.75" customHeight="1">
      <c r="J2506" s="4"/>
      <c r="K2506" s="4"/>
    </row>
    <row r="2507" spans="10:11" ht="15.75" customHeight="1">
      <c r="J2507" s="4"/>
      <c r="K2507" s="4"/>
    </row>
    <row r="2508" spans="10:11" ht="15.75" customHeight="1">
      <c r="J2508" s="4"/>
      <c r="K2508" s="4"/>
    </row>
    <row r="2509" spans="10:11" ht="15.75" customHeight="1">
      <c r="J2509" s="4"/>
      <c r="K2509" s="4"/>
    </row>
    <row r="2510" spans="10:11" ht="15.75" customHeight="1">
      <c r="J2510" s="4"/>
      <c r="K2510" s="4"/>
    </row>
    <row r="2511" spans="10:11" ht="15.75" customHeight="1">
      <c r="J2511" s="4"/>
      <c r="K2511" s="4"/>
    </row>
    <row r="2512" spans="10:11" ht="15.75" customHeight="1">
      <c r="J2512" s="4"/>
      <c r="K2512" s="4"/>
    </row>
    <row r="2513" spans="10:11" ht="15.75" customHeight="1">
      <c r="J2513" s="4"/>
      <c r="K2513" s="4"/>
    </row>
    <row r="2514" spans="10:11" ht="15.75" customHeight="1">
      <c r="J2514" s="4"/>
      <c r="K2514" s="4"/>
    </row>
    <row r="2515" spans="10:11" ht="15.75" customHeight="1">
      <c r="J2515" s="4"/>
      <c r="K2515" s="4"/>
    </row>
    <row r="2516" spans="10:11" ht="15.75" customHeight="1">
      <c r="J2516" s="4"/>
      <c r="K2516" s="4"/>
    </row>
    <row r="2517" spans="10:11" ht="15.75" customHeight="1">
      <c r="J2517" s="4"/>
      <c r="K2517" s="4"/>
    </row>
    <row r="2518" spans="10:11" ht="15.75" customHeight="1">
      <c r="J2518" s="4"/>
      <c r="K2518" s="4"/>
    </row>
    <row r="2519" spans="10:11" ht="15.75" customHeight="1">
      <c r="J2519" s="4"/>
      <c r="K2519" s="4"/>
    </row>
    <row r="2520" spans="10:11" ht="15.75" customHeight="1">
      <c r="J2520" s="4"/>
      <c r="K2520" s="4"/>
    </row>
    <row r="2521" spans="10:11" ht="15.75" customHeight="1">
      <c r="J2521" s="4"/>
      <c r="K2521" s="4"/>
    </row>
    <row r="2522" spans="10:11" ht="15.75" customHeight="1">
      <c r="J2522" s="4"/>
      <c r="K2522" s="4"/>
    </row>
    <row r="2523" spans="10:11" ht="15.75" customHeight="1">
      <c r="J2523" s="4"/>
      <c r="K2523" s="4"/>
    </row>
    <row r="2524" spans="10:11" ht="15.75" customHeight="1">
      <c r="J2524" s="4"/>
      <c r="K2524" s="4"/>
    </row>
    <row r="2525" spans="10:11" ht="15.75" customHeight="1">
      <c r="J2525" s="4"/>
      <c r="K2525" s="4"/>
    </row>
    <row r="2526" spans="10:11" ht="15.75" customHeight="1">
      <c r="J2526" s="4"/>
      <c r="K2526" s="4"/>
    </row>
    <row r="2527" spans="10:11" ht="15.75" customHeight="1">
      <c r="J2527" s="4"/>
      <c r="K2527" s="4"/>
    </row>
    <row r="2528" spans="10:11" ht="15.75" customHeight="1">
      <c r="J2528" s="4"/>
      <c r="K2528" s="4"/>
    </row>
    <row r="2529" spans="10:11" ht="15.75" customHeight="1">
      <c r="J2529" s="4"/>
      <c r="K2529" s="4"/>
    </row>
    <row r="2530" spans="10:11" ht="15.75" customHeight="1">
      <c r="J2530" s="4"/>
      <c r="K2530" s="4"/>
    </row>
    <row r="2531" spans="10:11" ht="15.75" customHeight="1">
      <c r="J2531" s="4"/>
      <c r="K2531" s="4"/>
    </row>
    <row r="2532" spans="10:11" ht="15.75" customHeight="1">
      <c r="J2532" s="4"/>
      <c r="K2532" s="4"/>
    </row>
    <row r="2533" spans="10:11" ht="15.75" customHeight="1">
      <c r="J2533" s="4"/>
      <c r="K2533" s="4"/>
    </row>
    <row r="2534" spans="10:11" ht="15.75" customHeight="1">
      <c r="J2534" s="4"/>
      <c r="K2534" s="4"/>
    </row>
    <row r="2535" spans="10:11" ht="15.75" customHeight="1">
      <c r="J2535" s="4"/>
      <c r="K2535" s="4"/>
    </row>
    <row r="2536" spans="10:11" ht="15.75" customHeight="1">
      <c r="J2536" s="4"/>
      <c r="K2536" s="4"/>
    </row>
    <row r="2537" spans="10:11" ht="15.75" customHeight="1">
      <c r="J2537" s="4"/>
      <c r="K2537" s="4"/>
    </row>
    <row r="2538" spans="10:11" ht="15.75" customHeight="1">
      <c r="J2538" s="4"/>
      <c r="K2538" s="4"/>
    </row>
    <row r="2539" spans="10:11" ht="15.75" customHeight="1">
      <c r="J2539" s="4"/>
      <c r="K2539" s="4"/>
    </row>
    <row r="2540" spans="10:11" ht="15.75" customHeight="1">
      <c r="J2540" s="4"/>
      <c r="K2540" s="4"/>
    </row>
    <row r="2541" spans="10:11" ht="15.75" customHeight="1">
      <c r="J2541" s="4"/>
      <c r="K2541" s="4"/>
    </row>
    <row r="2542" spans="10:11" ht="15.75" customHeight="1">
      <c r="J2542" s="4"/>
      <c r="K2542" s="4"/>
    </row>
    <row r="2543" spans="10:11" ht="15.75" customHeight="1">
      <c r="J2543" s="4"/>
      <c r="K2543" s="4"/>
    </row>
    <row r="2544" spans="10:11" ht="15.75" customHeight="1">
      <c r="J2544" s="4"/>
      <c r="K2544" s="4"/>
    </row>
    <row r="2545" spans="10:11" ht="15.75" customHeight="1">
      <c r="J2545" s="4"/>
      <c r="K2545" s="4"/>
    </row>
    <row r="2546" spans="10:11" ht="15.75" customHeight="1">
      <c r="J2546" s="4"/>
      <c r="K2546" s="4"/>
    </row>
    <row r="2547" spans="10:11" ht="15.75" customHeight="1">
      <c r="J2547" s="4"/>
      <c r="K2547" s="4"/>
    </row>
    <row r="2548" spans="10:11" ht="15.75" customHeight="1">
      <c r="J2548" s="4"/>
      <c r="K2548" s="4"/>
    </row>
    <row r="2549" spans="10:11" ht="15.75" customHeight="1">
      <c r="J2549" s="4"/>
      <c r="K2549" s="4"/>
    </row>
    <row r="2550" spans="10:11" ht="15.75" customHeight="1">
      <c r="J2550" s="4"/>
      <c r="K2550" s="4"/>
    </row>
    <row r="2551" spans="10:11" ht="15.75" customHeight="1">
      <c r="J2551" s="4"/>
      <c r="K2551" s="4"/>
    </row>
    <row r="2552" spans="10:11" ht="15.75" customHeight="1">
      <c r="J2552" s="4"/>
      <c r="K2552" s="4"/>
    </row>
    <row r="2553" spans="10:11" ht="15.75" customHeight="1">
      <c r="J2553" s="4"/>
      <c r="K2553" s="4"/>
    </row>
    <row r="2554" spans="10:11" ht="15.75" customHeight="1">
      <c r="J2554" s="4"/>
      <c r="K2554" s="4"/>
    </row>
    <row r="2555" spans="10:11" ht="15.75" customHeight="1">
      <c r="J2555" s="4"/>
      <c r="K2555" s="4"/>
    </row>
    <row r="2556" spans="10:11" ht="15.75" customHeight="1">
      <c r="J2556" s="4"/>
      <c r="K2556" s="4"/>
    </row>
    <row r="2557" spans="10:11" ht="15.75" customHeight="1">
      <c r="J2557" s="4"/>
      <c r="K2557" s="4"/>
    </row>
    <row r="2558" spans="10:11" ht="15.75" customHeight="1">
      <c r="J2558" s="4"/>
      <c r="K2558" s="4"/>
    </row>
    <row r="2559" spans="10:11" ht="15.75" customHeight="1">
      <c r="J2559" s="4"/>
      <c r="K2559" s="4"/>
    </row>
    <row r="2560" spans="10:11" ht="15.75" customHeight="1">
      <c r="J2560" s="4"/>
      <c r="K2560" s="4"/>
    </row>
    <row r="2561" spans="10:11" ht="15.75" customHeight="1">
      <c r="J2561" s="4"/>
      <c r="K2561" s="4"/>
    </row>
    <row r="2562" spans="10:11" ht="15.75" customHeight="1">
      <c r="J2562" s="4"/>
      <c r="K2562" s="4"/>
    </row>
    <row r="2563" spans="10:11" ht="15.75" customHeight="1">
      <c r="J2563" s="4"/>
      <c r="K2563" s="4"/>
    </row>
    <row r="2564" spans="10:11" ht="15.75" customHeight="1">
      <c r="J2564" s="4"/>
      <c r="K2564" s="4"/>
    </row>
    <row r="2565" spans="10:11" ht="15.75" customHeight="1">
      <c r="J2565" s="4"/>
      <c r="K2565" s="4"/>
    </row>
    <row r="2566" spans="10:11" ht="15.75" customHeight="1">
      <c r="J2566" s="4"/>
      <c r="K2566" s="4"/>
    </row>
    <row r="2567" spans="10:11" ht="15.75" customHeight="1">
      <c r="J2567" s="4"/>
      <c r="K2567" s="4"/>
    </row>
    <row r="2568" spans="10:11" ht="15.75" customHeight="1">
      <c r="J2568" s="4"/>
      <c r="K2568" s="4"/>
    </row>
    <row r="2569" spans="10:11" ht="15.75" customHeight="1">
      <c r="J2569" s="4"/>
      <c r="K2569" s="4"/>
    </row>
    <row r="2570" spans="10:11" ht="15.75" customHeight="1">
      <c r="J2570" s="4"/>
      <c r="K2570" s="4"/>
    </row>
    <row r="2571" spans="10:11" ht="15.75" customHeight="1">
      <c r="J2571" s="4"/>
      <c r="K2571" s="4"/>
    </row>
    <row r="2572" spans="10:11" ht="15.75" customHeight="1">
      <c r="J2572" s="4"/>
      <c r="K2572" s="4"/>
    </row>
    <row r="2573" spans="10:11" ht="15.75" customHeight="1">
      <c r="J2573" s="4"/>
      <c r="K2573" s="4"/>
    </row>
    <row r="2574" spans="10:11" ht="15.75" customHeight="1">
      <c r="J2574" s="4"/>
      <c r="K2574" s="4"/>
    </row>
    <row r="2575" spans="10:11" ht="15.75" customHeight="1">
      <c r="J2575" s="4"/>
      <c r="K2575" s="4"/>
    </row>
    <row r="2576" spans="10:11" ht="15.75" customHeight="1">
      <c r="J2576" s="4"/>
      <c r="K2576" s="4"/>
    </row>
    <row r="2577" spans="10:11" ht="15.75" customHeight="1">
      <c r="J2577" s="4"/>
      <c r="K2577" s="4"/>
    </row>
    <row r="2578" spans="10:11" ht="15.75" customHeight="1">
      <c r="J2578" s="4"/>
      <c r="K2578" s="4"/>
    </row>
    <row r="2579" spans="10:11" ht="15.75" customHeight="1">
      <c r="J2579" s="4"/>
      <c r="K2579" s="4"/>
    </row>
    <row r="2580" spans="10:11" ht="15.75" customHeight="1">
      <c r="J2580" s="4"/>
      <c r="K2580" s="4"/>
    </row>
    <row r="2581" spans="10:11" ht="15.75" customHeight="1">
      <c r="J2581" s="4"/>
      <c r="K2581" s="4"/>
    </row>
    <row r="2582" spans="10:11" ht="15.75" customHeight="1">
      <c r="J2582" s="4"/>
      <c r="K2582" s="4"/>
    </row>
    <row r="2583" spans="10:11" ht="15.75" customHeight="1">
      <c r="J2583" s="4"/>
      <c r="K2583" s="4"/>
    </row>
    <row r="2584" spans="10:11" ht="15.75" customHeight="1">
      <c r="J2584" s="4"/>
      <c r="K2584" s="4"/>
    </row>
    <row r="2585" spans="10:11" ht="15.75" customHeight="1">
      <c r="J2585" s="4"/>
      <c r="K2585" s="4"/>
    </row>
    <row r="2586" spans="10:11" ht="15.75" customHeight="1">
      <c r="J2586" s="4"/>
      <c r="K2586" s="4"/>
    </row>
    <row r="2587" spans="10:11" ht="15.75" customHeight="1">
      <c r="J2587" s="4"/>
      <c r="K2587" s="4"/>
    </row>
    <row r="2588" spans="10:11" ht="15.75" customHeight="1">
      <c r="J2588" s="4"/>
      <c r="K2588" s="4"/>
    </row>
    <row r="2589" spans="10:11" ht="15.75" customHeight="1">
      <c r="J2589" s="4"/>
      <c r="K2589" s="4"/>
    </row>
    <row r="2590" spans="10:11" ht="15.75" customHeight="1">
      <c r="J2590" s="4"/>
      <c r="K2590" s="4"/>
    </row>
    <row r="2591" spans="10:11" ht="15.75" customHeight="1">
      <c r="J2591" s="4"/>
      <c r="K2591" s="4"/>
    </row>
    <row r="2592" spans="10:11" ht="15.75" customHeight="1">
      <c r="J2592" s="4"/>
      <c r="K2592" s="4"/>
    </row>
    <row r="2593" spans="10:11" ht="15.75" customHeight="1">
      <c r="J2593" s="4"/>
      <c r="K2593" s="4"/>
    </row>
    <row r="2594" spans="10:11" ht="15.75" customHeight="1">
      <c r="J2594" s="4"/>
      <c r="K2594" s="4"/>
    </row>
    <row r="2595" spans="10:11" ht="15.75" customHeight="1">
      <c r="J2595" s="4"/>
      <c r="K2595" s="4"/>
    </row>
    <row r="2596" spans="10:11" ht="15.75" customHeight="1">
      <c r="J2596" s="4"/>
      <c r="K2596" s="4"/>
    </row>
    <row r="2597" spans="10:11" ht="15.75" customHeight="1">
      <c r="J2597" s="4"/>
      <c r="K2597" s="4"/>
    </row>
    <row r="2598" spans="10:11" ht="15.75" customHeight="1">
      <c r="J2598" s="4"/>
      <c r="K2598" s="4"/>
    </row>
    <row r="2599" spans="10:11" ht="15.75" customHeight="1">
      <c r="J2599" s="4"/>
      <c r="K2599" s="4"/>
    </row>
    <row r="2600" spans="10:11" ht="15.75" customHeight="1">
      <c r="J2600" s="4"/>
      <c r="K2600" s="4"/>
    </row>
    <row r="2601" spans="10:11" ht="15.75" customHeight="1">
      <c r="J2601" s="4"/>
      <c r="K2601" s="4"/>
    </row>
    <row r="2602" spans="10:11" ht="15.75" customHeight="1">
      <c r="J2602" s="4"/>
      <c r="K2602" s="4"/>
    </row>
    <row r="2603" spans="10:11" ht="15.75" customHeight="1">
      <c r="J2603" s="4"/>
      <c r="K2603" s="4"/>
    </row>
    <row r="2604" spans="10:11" ht="15.75" customHeight="1">
      <c r="J2604" s="4"/>
      <c r="K2604" s="4"/>
    </row>
    <row r="2605" spans="10:11" ht="15.75" customHeight="1">
      <c r="J2605" s="4"/>
      <c r="K2605" s="4"/>
    </row>
    <row r="2606" spans="10:11" ht="15.75" customHeight="1">
      <c r="J2606" s="4"/>
      <c r="K2606" s="4"/>
    </row>
    <row r="2607" spans="10:11" ht="15.75" customHeight="1">
      <c r="J2607" s="4"/>
      <c r="K2607" s="4"/>
    </row>
    <row r="2608" spans="10:11" ht="15.75" customHeight="1">
      <c r="J2608" s="4"/>
      <c r="K2608" s="4"/>
    </row>
    <row r="2609" spans="10:11" ht="15.75" customHeight="1">
      <c r="J2609" s="4"/>
      <c r="K2609" s="4"/>
    </row>
    <row r="2610" spans="10:11" ht="15.75" customHeight="1">
      <c r="J2610" s="4"/>
      <c r="K2610" s="4"/>
    </row>
    <row r="2611" spans="10:11" ht="15.75" customHeight="1">
      <c r="J2611" s="4"/>
      <c r="K2611" s="4"/>
    </row>
    <row r="2612" spans="10:11" ht="15.75" customHeight="1">
      <c r="J2612" s="4"/>
      <c r="K2612" s="4"/>
    </row>
    <row r="2613" spans="10:11" ht="15.75" customHeight="1">
      <c r="J2613" s="4"/>
      <c r="K2613" s="4"/>
    </row>
    <row r="2614" spans="10:11" ht="15.75" customHeight="1">
      <c r="J2614" s="4"/>
      <c r="K2614" s="4"/>
    </row>
    <row r="2615" spans="10:11" ht="15.75" customHeight="1">
      <c r="J2615" s="4"/>
      <c r="K2615" s="4"/>
    </row>
    <row r="2616" spans="10:11" ht="15.75" customHeight="1">
      <c r="J2616" s="4"/>
      <c r="K2616" s="4"/>
    </row>
    <row r="2617" spans="10:11" ht="15.75" customHeight="1">
      <c r="J2617" s="4"/>
      <c r="K2617" s="4"/>
    </row>
    <row r="2618" spans="10:11" ht="15.75" customHeight="1">
      <c r="J2618" s="4"/>
      <c r="K2618" s="4"/>
    </row>
    <row r="2619" spans="10:11" ht="15.75" customHeight="1">
      <c r="J2619" s="4"/>
      <c r="K2619" s="4"/>
    </row>
    <row r="2620" spans="10:11" ht="15.75" customHeight="1">
      <c r="J2620" s="4"/>
      <c r="K2620" s="4"/>
    </row>
    <row r="2621" spans="10:11" ht="15.75" customHeight="1">
      <c r="J2621" s="4"/>
      <c r="K2621" s="4"/>
    </row>
    <row r="2622" spans="10:11" ht="15.75" customHeight="1">
      <c r="J2622" s="4"/>
      <c r="K2622" s="4"/>
    </row>
    <row r="2623" spans="10:11" ht="15.75" customHeight="1">
      <c r="J2623" s="4"/>
      <c r="K2623" s="4"/>
    </row>
    <row r="2624" spans="10:11" ht="15.75" customHeight="1">
      <c r="J2624" s="4"/>
      <c r="K2624" s="4"/>
    </row>
    <row r="2625" spans="10:11" ht="15.75" customHeight="1">
      <c r="J2625" s="4"/>
      <c r="K2625" s="4"/>
    </row>
    <row r="2626" spans="10:11" ht="15.75" customHeight="1">
      <c r="J2626" s="4"/>
      <c r="K2626" s="4"/>
    </row>
    <row r="2627" spans="10:11" ht="15.75" customHeight="1">
      <c r="J2627" s="4"/>
      <c r="K2627" s="4"/>
    </row>
    <row r="2628" spans="10:11" ht="15.75" customHeight="1">
      <c r="J2628" s="4"/>
      <c r="K2628" s="4"/>
    </row>
    <row r="2629" spans="10:11" ht="15.75" customHeight="1">
      <c r="J2629" s="4"/>
      <c r="K2629" s="4"/>
    </row>
    <row r="2630" spans="10:11" ht="15.75" customHeight="1">
      <c r="J2630" s="4"/>
      <c r="K2630" s="4"/>
    </row>
    <row r="2631" spans="10:11" ht="15.75" customHeight="1">
      <c r="J2631" s="4"/>
      <c r="K2631" s="4"/>
    </row>
    <row r="2632" spans="10:11" ht="15.75" customHeight="1">
      <c r="J2632" s="4"/>
      <c r="K2632" s="4"/>
    </row>
    <row r="2633" spans="10:11" ht="15.75" customHeight="1">
      <c r="J2633" s="4"/>
      <c r="K2633" s="4"/>
    </row>
    <row r="2634" spans="10:11" ht="15.75" customHeight="1">
      <c r="J2634" s="4"/>
      <c r="K2634" s="4"/>
    </row>
    <row r="2635" spans="10:11" ht="15.75" customHeight="1">
      <c r="J2635" s="4"/>
      <c r="K2635" s="4"/>
    </row>
    <row r="2636" spans="10:11" ht="15.75" customHeight="1">
      <c r="J2636" s="4"/>
      <c r="K2636" s="4"/>
    </row>
    <row r="2637" spans="10:11" ht="15.75" customHeight="1">
      <c r="J2637" s="4"/>
      <c r="K2637" s="4"/>
    </row>
    <row r="2638" spans="10:11" ht="15.75" customHeight="1">
      <c r="J2638" s="4"/>
      <c r="K2638" s="4"/>
    </row>
    <row r="2639" spans="10:11" ht="15.75" customHeight="1">
      <c r="J2639" s="4"/>
      <c r="K2639" s="4"/>
    </row>
    <row r="2640" spans="10:11" ht="15.75" customHeight="1">
      <c r="J2640" s="4"/>
      <c r="K2640" s="4"/>
    </row>
    <row r="2641" spans="10:11" ht="15.75" customHeight="1">
      <c r="J2641" s="4"/>
      <c r="K2641" s="4"/>
    </row>
    <row r="2642" spans="10:11" ht="15.75" customHeight="1">
      <c r="J2642" s="4"/>
      <c r="K2642" s="4"/>
    </row>
    <row r="2643" spans="10:11" ht="15.75" customHeight="1">
      <c r="J2643" s="4"/>
      <c r="K2643" s="4"/>
    </row>
    <row r="2644" spans="10:11" ht="15.75" customHeight="1">
      <c r="J2644" s="4"/>
      <c r="K2644" s="4"/>
    </row>
    <row r="2645" spans="10:11" ht="15.75" customHeight="1">
      <c r="J2645" s="4"/>
      <c r="K2645" s="4"/>
    </row>
    <row r="2646" spans="10:11" ht="15.75" customHeight="1">
      <c r="J2646" s="4"/>
      <c r="K2646" s="4"/>
    </row>
    <row r="2647" spans="10:11" ht="15.75" customHeight="1">
      <c r="J2647" s="4"/>
      <c r="K2647" s="4"/>
    </row>
    <row r="2648" spans="10:11" ht="15.75" customHeight="1">
      <c r="J2648" s="4"/>
      <c r="K2648" s="4"/>
    </row>
    <row r="2649" spans="10:11" ht="15.75" customHeight="1">
      <c r="J2649" s="4"/>
      <c r="K2649" s="4"/>
    </row>
    <row r="2650" spans="10:11" ht="15.75" customHeight="1">
      <c r="J2650" s="4"/>
      <c r="K2650" s="4"/>
    </row>
    <row r="2651" spans="10:11" ht="15.75" customHeight="1">
      <c r="J2651" s="4"/>
      <c r="K2651" s="4"/>
    </row>
    <row r="2652" spans="10:11" ht="15.75" customHeight="1">
      <c r="J2652" s="4"/>
      <c r="K2652" s="4"/>
    </row>
    <row r="2653" spans="10:11" ht="15.75" customHeight="1">
      <c r="J2653" s="4"/>
      <c r="K2653" s="4"/>
    </row>
    <row r="2654" spans="10:11" ht="15.75" customHeight="1">
      <c r="J2654" s="4"/>
      <c r="K2654" s="4"/>
    </row>
    <row r="2655" spans="10:11" ht="15.75" customHeight="1">
      <c r="J2655" s="4"/>
      <c r="K2655" s="4"/>
    </row>
    <row r="2656" spans="10:11" ht="15.75" customHeight="1">
      <c r="J2656" s="4"/>
      <c r="K2656" s="4"/>
    </row>
    <row r="2657" spans="10:11" ht="15.75" customHeight="1">
      <c r="J2657" s="4"/>
      <c r="K2657" s="4"/>
    </row>
    <row r="2658" spans="10:11" ht="15.75" customHeight="1">
      <c r="J2658" s="4"/>
      <c r="K2658" s="4"/>
    </row>
    <row r="2659" spans="10:11" ht="15.75" customHeight="1">
      <c r="J2659" s="4"/>
      <c r="K2659" s="4"/>
    </row>
    <row r="2660" spans="10:11" ht="15.75" customHeight="1">
      <c r="J2660" s="4"/>
      <c r="K2660" s="4"/>
    </row>
    <row r="2661" spans="10:11" ht="15.75" customHeight="1">
      <c r="J2661" s="4"/>
      <c r="K2661" s="4"/>
    </row>
    <row r="2662" spans="10:11" ht="15.75" customHeight="1">
      <c r="J2662" s="4"/>
      <c r="K2662" s="4"/>
    </row>
    <row r="2663" spans="10:11" ht="15.75" customHeight="1">
      <c r="J2663" s="4"/>
      <c r="K2663" s="4"/>
    </row>
    <row r="2664" spans="10:11" ht="15.75" customHeight="1">
      <c r="J2664" s="4"/>
      <c r="K2664" s="4"/>
    </row>
    <row r="2665" spans="10:11" ht="15.75" customHeight="1">
      <c r="J2665" s="4"/>
      <c r="K2665" s="4"/>
    </row>
    <row r="2666" spans="10:11" ht="15.75" customHeight="1">
      <c r="J2666" s="4"/>
      <c r="K2666" s="4"/>
    </row>
    <row r="2667" spans="10:11" ht="15.75" customHeight="1">
      <c r="J2667" s="4"/>
      <c r="K2667" s="4"/>
    </row>
    <row r="2668" spans="10:11" ht="15.75" customHeight="1">
      <c r="J2668" s="4"/>
      <c r="K2668" s="4"/>
    </row>
    <row r="2669" spans="10:11" ht="15.75" customHeight="1">
      <c r="J2669" s="4"/>
      <c r="K2669" s="4"/>
    </row>
    <row r="2670" spans="10:11" ht="15.75" customHeight="1">
      <c r="J2670" s="4"/>
      <c r="K2670" s="4"/>
    </row>
    <row r="2671" spans="10:11" ht="15.75" customHeight="1">
      <c r="J2671" s="4"/>
      <c r="K2671" s="4"/>
    </row>
    <row r="2672" spans="10:11" ht="15.75" customHeight="1">
      <c r="J2672" s="4"/>
      <c r="K2672" s="4"/>
    </row>
    <row r="2673" spans="10:11" ht="15.75" customHeight="1">
      <c r="J2673" s="4"/>
      <c r="K2673" s="4"/>
    </row>
    <row r="2674" spans="10:11" ht="15.75" customHeight="1">
      <c r="J2674" s="4"/>
      <c r="K2674" s="4"/>
    </row>
    <row r="2675" spans="10:11" ht="15.75" customHeight="1">
      <c r="J2675" s="4"/>
      <c r="K2675" s="4"/>
    </row>
    <row r="2676" spans="10:11" ht="15.75" customHeight="1">
      <c r="J2676" s="4"/>
      <c r="K2676" s="4"/>
    </row>
    <row r="2677" spans="10:11" ht="15.75" customHeight="1">
      <c r="J2677" s="4"/>
      <c r="K2677" s="4"/>
    </row>
    <row r="2678" spans="10:11" ht="15.75" customHeight="1">
      <c r="J2678" s="4"/>
      <c r="K2678" s="4"/>
    </row>
    <row r="2679" spans="10:11" ht="15.75" customHeight="1">
      <c r="J2679" s="4"/>
      <c r="K2679" s="4"/>
    </row>
    <row r="2680" spans="10:11" ht="15.75" customHeight="1">
      <c r="J2680" s="4"/>
      <c r="K2680" s="4"/>
    </row>
    <row r="2681" spans="10:11" ht="15.75" customHeight="1">
      <c r="J2681" s="4"/>
      <c r="K2681" s="4"/>
    </row>
    <row r="2682" spans="10:11" ht="15.75" customHeight="1">
      <c r="J2682" s="4"/>
      <c r="K2682" s="4"/>
    </row>
    <row r="2683" spans="10:11" ht="15.75" customHeight="1">
      <c r="J2683" s="4"/>
      <c r="K2683" s="4"/>
    </row>
    <row r="2684" spans="10:11" ht="15.75" customHeight="1">
      <c r="J2684" s="4"/>
      <c r="K2684" s="4"/>
    </row>
    <row r="2685" spans="10:11" ht="15.75" customHeight="1">
      <c r="J2685" s="4"/>
      <c r="K2685" s="4"/>
    </row>
    <row r="2686" spans="10:11" ht="15.75" customHeight="1">
      <c r="J2686" s="4"/>
      <c r="K2686" s="4"/>
    </row>
    <row r="2687" spans="10:11" ht="15.75" customHeight="1">
      <c r="J2687" s="4"/>
      <c r="K2687" s="4"/>
    </row>
    <row r="2688" spans="10:11" ht="15.75" customHeight="1">
      <c r="J2688" s="4"/>
      <c r="K2688" s="4"/>
    </row>
    <row r="2689" spans="10:11" ht="15.75" customHeight="1">
      <c r="J2689" s="4"/>
      <c r="K2689" s="4"/>
    </row>
    <row r="2690" spans="10:11" ht="15.75" customHeight="1">
      <c r="J2690" s="4"/>
      <c r="K2690" s="4"/>
    </row>
    <row r="2691" spans="10:11" ht="15.75" customHeight="1">
      <c r="J2691" s="4"/>
      <c r="K2691" s="4"/>
    </row>
    <row r="2692" spans="10:11" ht="15.75" customHeight="1">
      <c r="J2692" s="4"/>
      <c r="K2692" s="4"/>
    </row>
    <row r="2693" spans="10:11" ht="15.75" customHeight="1">
      <c r="J2693" s="4"/>
      <c r="K2693" s="4"/>
    </row>
    <row r="2694" spans="10:11" ht="15.75" customHeight="1">
      <c r="J2694" s="4"/>
      <c r="K2694" s="4"/>
    </row>
    <row r="2695" spans="10:11" ht="15.75" customHeight="1">
      <c r="J2695" s="4"/>
      <c r="K2695" s="4"/>
    </row>
    <row r="2696" spans="10:11" ht="15.75" customHeight="1">
      <c r="J2696" s="4"/>
      <c r="K2696" s="4"/>
    </row>
    <row r="2697" spans="10:11" ht="15.75" customHeight="1">
      <c r="J2697" s="4"/>
      <c r="K2697" s="4"/>
    </row>
    <row r="2698" spans="10:11" ht="15.75" customHeight="1">
      <c r="J2698" s="4"/>
      <c r="K2698" s="4"/>
    </row>
    <row r="2699" spans="10:11" ht="15.75" customHeight="1">
      <c r="J2699" s="4"/>
      <c r="K2699" s="4"/>
    </row>
    <row r="2700" spans="10:11" ht="15.75" customHeight="1">
      <c r="J2700" s="4"/>
      <c r="K2700" s="4"/>
    </row>
    <row r="2701" spans="10:11" ht="15.75" customHeight="1">
      <c r="J2701" s="4"/>
      <c r="K2701" s="4"/>
    </row>
    <row r="2702" spans="10:11" ht="15.75" customHeight="1">
      <c r="J2702" s="4"/>
      <c r="K2702" s="4"/>
    </row>
    <row r="2703" spans="10:11" ht="15.75" customHeight="1">
      <c r="J2703" s="4"/>
      <c r="K2703" s="4"/>
    </row>
    <row r="2704" spans="10:11" ht="15.75" customHeight="1">
      <c r="J2704" s="4"/>
      <c r="K2704" s="4"/>
    </row>
    <row r="2705" spans="10:11" ht="15.75" customHeight="1">
      <c r="J2705" s="4"/>
      <c r="K2705" s="4"/>
    </row>
    <row r="2706" spans="10:11" ht="15.75" customHeight="1">
      <c r="J2706" s="4"/>
      <c r="K2706" s="4"/>
    </row>
    <row r="2707" spans="10:11" ht="15.75" customHeight="1">
      <c r="J2707" s="4"/>
      <c r="K2707" s="4"/>
    </row>
    <row r="2708" spans="10:11" ht="15.75" customHeight="1">
      <c r="J2708" s="4"/>
      <c r="K2708" s="4"/>
    </row>
    <row r="2709" spans="10:11" ht="15.75" customHeight="1">
      <c r="J2709" s="4"/>
      <c r="K2709" s="4"/>
    </row>
    <row r="2710" spans="10:11" ht="15.75" customHeight="1">
      <c r="J2710" s="4"/>
      <c r="K2710" s="4"/>
    </row>
    <row r="2711" spans="10:11" ht="15.75" customHeight="1">
      <c r="J2711" s="4"/>
      <c r="K2711" s="4"/>
    </row>
    <row r="2712" spans="10:11" ht="15.75" customHeight="1">
      <c r="J2712" s="4"/>
      <c r="K2712" s="4"/>
    </row>
    <row r="2713" spans="10:11" ht="15.75" customHeight="1">
      <c r="J2713" s="4"/>
      <c r="K2713" s="4"/>
    </row>
    <row r="2714" spans="10:11" ht="15.75" customHeight="1">
      <c r="J2714" s="4"/>
      <c r="K2714" s="4"/>
    </row>
    <row r="2715" spans="10:11" ht="15.75" customHeight="1">
      <c r="J2715" s="4"/>
      <c r="K2715" s="4"/>
    </row>
    <row r="2716" spans="10:11" ht="15.75" customHeight="1">
      <c r="J2716" s="4"/>
      <c r="K2716" s="4"/>
    </row>
    <row r="2717" spans="10:11" ht="15.75" customHeight="1">
      <c r="J2717" s="4"/>
      <c r="K2717" s="4"/>
    </row>
    <row r="2718" spans="10:11" ht="15.75" customHeight="1">
      <c r="J2718" s="4"/>
      <c r="K2718" s="4"/>
    </row>
    <row r="2719" spans="10:11" ht="15.75" customHeight="1">
      <c r="J2719" s="4"/>
      <c r="K2719" s="4"/>
    </row>
    <row r="2720" spans="10:11" ht="15.75" customHeight="1">
      <c r="J2720" s="4"/>
      <c r="K2720" s="4"/>
    </row>
    <row r="2721" spans="10:11" ht="15.75" customHeight="1">
      <c r="J2721" s="4"/>
      <c r="K2721" s="4"/>
    </row>
    <row r="2722" spans="10:11" ht="15.75" customHeight="1">
      <c r="J2722" s="4"/>
      <c r="K2722" s="4"/>
    </row>
    <row r="2723" spans="10:11" ht="15.75" customHeight="1">
      <c r="J2723" s="4"/>
      <c r="K2723" s="4"/>
    </row>
    <row r="2724" spans="10:11" ht="15.75" customHeight="1">
      <c r="J2724" s="4"/>
      <c r="K2724" s="4"/>
    </row>
    <row r="2725" spans="10:11" ht="15.75" customHeight="1">
      <c r="J2725" s="4"/>
      <c r="K2725" s="4"/>
    </row>
    <row r="2726" spans="10:11" ht="15.75" customHeight="1">
      <c r="J2726" s="4"/>
      <c r="K2726" s="4"/>
    </row>
    <row r="2727" spans="10:11" ht="15.75" customHeight="1">
      <c r="J2727" s="4"/>
      <c r="K2727" s="4"/>
    </row>
    <row r="2728" spans="10:11" ht="15.75" customHeight="1">
      <c r="J2728" s="4"/>
      <c r="K2728" s="4"/>
    </row>
    <row r="2729" spans="10:11" ht="15.75" customHeight="1">
      <c r="J2729" s="4"/>
      <c r="K2729" s="4"/>
    </row>
    <row r="2730" spans="10:11" ht="15.75" customHeight="1">
      <c r="J2730" s="4"/>
      <c r="K2730" s="4"/>
    </row>
    <row r="2731" spans="10:11" ht="15.75" customHeight="1">
      <c r="J2731" s="4"/>
      <c r="K2731" s="4"/>
    </row>
    <row r="2732" spans="10:11" ht="15.75" customHeight="1">
      <c r="J2732" s="4"/>
      <c r="K2732" s="4"/>
    </row>
    <row r="2733" spans="10:11" ht="15.75" customHeight="1">
      <c r="J2733" s="4"/>
      <c r="K2733" s="4"/>
    </row>
    <row r="2734" spans="10:11" ht="15.75" customHeight="1">
      <c r="J2734" s="4"/>
      <c r="K2734" s="4"/>
    </row>
    <row r="2735" spans="10:11" ht="15.75" customHeight="1">
      <c r="J2735" s="4"/>
      <c r="K2735" s="4"/>
    </row>
    <row r="2736" spans="10:11" ht="15.75" customHeight="1">
      <c r="J2736" s="4"/>
      <c r="K2736" s="4"/>
    </row>
    <row r="2737" spans="10:11" ht="15.75" customHeight="1">
      <c r="J2737" s="4"/>
      <c r="K2737" s="4"/>
    </row>
    <row r="2738" spans="10:11" ht="15.75" customHeight="1">
      <c r="J2738" s="4"/>
      <c r="K2738" s="4"/>
    </row>
    <row r="2739" spans="10:11" ht="15.75" customHeight="1">
      <c r="J2739" s="4"/>
      <c r="K2739" s="4"/>
    </row>
    <row r="2740" spans="10:11" ht="15.75" customHeight="1">
      <c r="J2740" s="4"/>
      <c r="K2740" s="4"/>
    </row>
    <row r="2741" spans="10:11" ht="15.75" customHeight="1">
      <c r="J2741" s="4"/>
      <c r="K2741" s="4"/>
    </row>
    <row r="2742" spans="10:11" ht="15.75" customHeight="1">
      <c r="J2742" s="4"/>
      <c r="K2742" s="4"/>
    </row>
    <row r="2743" spans="10:11" ht="15.75" customHeight="1">
      <c r="J2743" s="4"/>
      <c r="K2743" s="4"/>
    </row>
    <row r="2744" spans="10:11" ht="15.75" customHeight="1">
      <c r="J2744" s="4"/>
      <c r="K2744" s="4"/>
    </row>
    <row r="2745" spans="10:11" ht="15.75" customHeight="1">
      <c r="J2745" s="4"/>
      <c r="K2745" s="4"/>
    </row>
    <row r="2746" spans="10:11" ht="15.75" customHeight="1">
      <c r="J2746" s="4"/>
      <c r="K2746" s="4"/>
    </row>
    <row r="2747" spans="10:11" ht="15.75" customHeight="1">
      <c r="J2747" s="4"/>
      <c r="K2747" s="4"/>
    </row>
    <row r="2748" spans="10:11" ht="15.75" customHeight="1">
      <c r="J2748" s="4"/>
      <c r="K2748" s="4"/>
    </row>
    <row r="2749" spans="10:11" ht="15.75" customHeight="1">
      <c r="J2749" s="4"/>
      <c r="K2749" s="4"/>
    </row>
    <row r="2750" spans="10:11" ht="15.75" customHeight="1">
      <c r="J2750" s="4"/>
      <c r="K2750" s="4"/>
    </row>
    <row r="2751" spans="10:11" ht="15.75" customHeight="1">
      <c r="J2751" s="4"/>
      <c r="K2751" s="4"/>
    </row>
    <row r="2752" spans="10:11" ht="15.75" customHeight="1">
      <c r="J2752" s="4"/>
      <c r="K2752" s="4"/>
    </row>
    <row r="2753" spans="10:11" ht="15.75" customHeight="1">
      <c r="J2753" s="4"/>
      <c r="K2753" s="4"/>
    </row>
    <row r="2754" spans="10:11" ht="15.75" customHeight="1">
      <c r="J2754" s="4"/>
      <c r="K2754" s="4"/>
    </row>
    <row r="2755" spans="10:11" ht="15.75" customHeight="1">
      <c r="J2755" s="4"/>
      <c r="K2755" s="4"/>
    </row>
    <row r="2756" spans="10:11" ht="15.75" customHeight="1">
      <c r="J2756" s="4"/>
      <c r="K2756" s="4"/>
    </row>
    <row r="2757" spans="10:11" ht="15.75" customHeight="1">
      <c r="J2757" s="4"/>
      <c r="K2757" s="4"/>
    </row>
    <row r="2758" spans="10:11" ht="15.75" customHeight="1">
      <c r="J2758" s="4"/>
      <c r="K2758" s="4"/>
    </row>
    <row r="2759" spans="10:11" ht="15.75" customHeight="1">
      <c r="J2759" s="4"/>
      <c r="K2759" s="4"/>
    </row>
    <row r="2760" spans="10:11" ht="15.75" customHeight="1">
      <c r="J2760" s="4"/>
      <c r="K2760" s="4"/>
    </row>
    <row r="2761" spans="10:11" ht="15.75" customHeight="1">
      <c r="J2761" s="4"/>
      <c r="K2761" s="4"/>
    </row>
    <row r="2762" spans="10:11" ht="15.75" customHeight="1">
      <c r="J2762" s="4"/>
      <c r="K2762" s="4"/>
    </row>
    <row r="2763" spans="10:11" ht="15.75" customHeight="1">
      <c r="J2763" s="4"/>
      <c r="K2763" s="4"/>
    </row>
    <row r="2764" spans="10:11" ht="15.75" customHeight="1">
      <c r="J2764" s="4"/>
      <c r="K2764" s="4"/>
    </row>
    <row r="2765" spans="10:11" ht="15.75" customHeight="1">
      <c r="J2765" s="4"/>
      <c r="K2765" s="4"/>
    </row>
    <row r="2766" spans="10:11" ht="15.75" customHeight="1">
      <c r="J2766" s="4"/>
      <c r="K2766" s="4"/>
    </row>
    <row r="2767" spans="10:11" ht="15.75" customHeight="1">
      <c r="J2767" s="4"/>
      <c r="K2767" s="4"/>
    </row>
    <row r="2768" spans="10:11" ht="15.75" customHeight="1">
      <c r="J2768" s="4"/>
      <c r="K2768" s="4"/>
    </row>
    <row r="2769" spans="10:11" ht="15.75" customHeight="1">
      <c r="J2769" s="4"/>
      <c r="K2769" s="4"/>
    </row>
    <row r="2770" spans="10:11" ht="15.75" customHeight="1">
      <c r="J2770" s="4"/>
      <c r="K2770" s="4"/>
    </row>
    <row r="2771" spans="10:11" ht="15.75" customHeight="1">
      <c r="J2771" s="4"/>
      <c r="K2771" s="4"/>
    </row>
    <row r="2772" spans="10:11" ht="15.75" customHeight="1">
      <c r="J2772" s="4"/>
      <c r="K2772" s="4"/>
    </row>
    <row r="2773" spans="10:11" ht="15.75" customHeight="1">
      <c r="J2773" s="4"/>
      <c r="K2773" s="4"/>
    </row>
    <row r="2774" spans="10:11" ht="15.75" customHeight="1">
      <c r="J2774" s="4"/>
      <c r="K2774" s="4"/>
    </row>
    <row r="2775" spans="10:11" ht="15.75" customHeight="1">
      <c r="J2775" s="4"/>
      <c r="K2775" s="4"/>
    </row>
    <row r="2776" spans="10:11" ht="15.75" customHeight="1">
      <c r="J2776" s="4"/>
      <c r="K2776" s="4"/>
    </row>
    <row r="2777" spans="10:11" ht="15.75" customHeight="1">
      <c r="J2777" s="4"/>
      <c r="K2777" s="4"/>
    </row>
    <row r="2778" spans="10:11" ht="15.75" customHeight="1">
      <c r="J2778" s="4"/>
      <c r="K2778" s="4"/>
    </row>
    <row r="2779" spans="10:11" ht="15.75" customHeight="1">
      <c r="J2779" s="4"/>
      <c r="K2779" s="4"/>
    </row>
    <row r="2780" spans="10:11" ht="15.75" customHeight="1">
      <c r="J2780" s="4"/>
      <c r="K2780" s="4"/>
    </row>
    <row r="2781" spans="10:11" ht="15.75" customHeight="1">
      <c r="J2781" s="4"/>
      <c r="K2781" s="4"/>
    </row>
    <row r="2782" spans="10:11" ht="15.75" customHeight="1">
      <c r="J2782" s="4"/>
      <c r="K2782" s="4"/>
    </row>
    <row r="2783" spans="10:11" ht="15.75" customHeight="1">
      <c r="J2783" s="4"/>
      <c r="K2783" s="4"/>
    </row>
    <row r="2784" spans="10:11" ht="15.75" customHeight="1">
      <c r="J2784" s="4"/>
      <c r="K2784" s="4"/>
    </row>
    <row r="2785" spans="10:11" ht="15.75" customHeight="1">
      <c r="J2785" s="4"/>
      <c r="K2785" s="4"/>
    </row>
    <row r="2786" spans="10:11" ht="15.75" customHeight="1">
      <c r="J2786" s="4"/>
      <c r="K2786" s="4"/>
    </row>
    <row r="2787" spans="10:11" ht="15.75" customHeight="1">
      <c r="J2787" s="4"/>
      <c r="K2787" s="4"/>
    </row>
    <row r="2788" spans="10:11" ht="15.75" customHeight="1">
      <c r="J2788" s="4"/>
      <c r="K2788" s="4"/>
    </row>
    <row r="2789" spans="10:11" ht="15.75" customHeight="1">
      <c r="J2789" s="4"/>
      <c r="K2789" s="4"/>
    </row>
    <row r="2790" spans="10:11" ht="15.75" customHeight="1">
      <c r="J2790" s="4"/>
      <c r="K2790" s="4"/>
    </row>
    <row r="2791" spans="10:11" ht="15.75" customHeight="1">
      <c r="J2791" s="4"/>
      <c r="K2791" s="4"/>
    </row>
    <row r="2792" spans="10:11" ht="15.75" customHeight="1">
      <c r="J2792" s="4"/>
      <c r="K2792" s="4"/>
    </row>
    <row r="2793" spans="10:11" ht="15.75" customHeight="1">
      <c r="J2793" s="4"/>
      <c r="K2793" s="4"/>
    </row>
    <row r="2794" spans="10:11" ht="15.75" customHeight="1">
      <c r="J2794" s="4"/>
      <c r="K2794" s="4"/>
    </row>
    <row r="2795" spans="10:11" ht="15.75" customHeight="1">
      <c r="J2795" s="4"/>
      <c r="K2795" s="4"/>
    </row>
    <row r="2796" spans="10:11" ht="15.75" customHeight="1">
      <c r="J2796" s="4"/>
      <c r="K2796" s="4"/>
    </row>
    <row r="2797" spans="10:11" ht="15.75" customHeight="1">
      <c r="J2797" s="4"/>
      <c r="K2797" s="4"/>
    </row>
    <row r="2798" spans="10:11" ht="15.75" customHeight="1">
      <c r="J2798" s="4"/>
      <c r="K2798" s="4"/>
    </row>
    <row r="2799" spans="10:11" ht="15.75" customHeight="1">
      <c r="J2799" s="4"/>
      <c r="K2799" s="4"/>
    </row>
    <row r="2800" spans="10:11" ht="15.75" customHeight="1">
      <c r="J2800" s="4"/>
      <c r="K2800" s="4"/>
    </row>
    <row r="2801" spans="10:11" ht="15.75" customHeight="1">
      <c r="J2801" s="4"/>
      <c r="K2801" s="4"/>
    </row>
    <row r="2802" spans="10:11" ht="15.75" customHeight="1">
      <c r="J2802" s="4"/>
      <c r="K2802" s="4"/>
    </row>
    <row r="2803" spans="10:11" ht="15.75" customHeight="1">
      <c r="J2803" s="4"/>
      <c r="K2803" s="4"/>
    </row>
    <row r="2804" spans="10:11" ht="15.75" customHeight="1">
      <c r="J2804" s="4"/>
      <c r="K2804" s="4"/>
    </row>
    <row r="2805" spans="10:11" ht="15.75" customHeight="1">
      <c r="J2805" s="4"/>
      <c r="K2805" s="4"/>
    </row>
    <row r="2806" spans="10:11" ht="15.75" customHeight="1">
      <c r="J2806" s="4"/>
      <c r="K2806" s="4"/>
    </row>
    <row r="2807" spans="10:11" ht="15.75" customHeight="1">
      <c r="J2807" s="4"/>
      <c r="K2807" s="4"/>
    </row>
    <row r="2808" spans="10:11" ht="15.75" customHeight="1">
      <c r="J2808" s="4"/>
      <c r="K2808" s="4"/>
    </row>
    <row r="2809" spans="10:11" ht="15.75" customHeight="1">
      <c r="J2809" s="4"/>
      <c r="K2809" s="4"/>
    </row>
    <row r="2810" spans="10:11" ht="15.75" customHeight="1">
      <c r="J2810" s="4"/>
      <c r="K2810" s="4"/>
    </row>
    <row r="2811" spans="10:11" ht="15.75" customHeight="1">
      <c r="J2811" s="4"/>
      <c r="K2811" s="4"/>
    </row>
    <row r="2812" spans="10:11" ht="15.75" customHeight="1">
      <c r="J2812" s="4"/>
      <c r="K2812" s="4"/>
    </row>
    <row r="2813" spans="10:11" ht="15.75" customHeight="1">
      <c r="J2813" s="4"/>
      <c r="K2813" s="4"/>
    </row>
    <row r="2814" spans="10:11" ht="15.75" customHeight="1">
      <c r="J2814" s="4"/>
      <c r="K2814" s="4"/>
    </row>
    <row r="2815" spans="10:11" ht="15.75" customHeight="1">
      <c r="J2815" s="4"/>
      <c r="K2815" s="4"/>
    </row>
    <row r="2816" spans="10:11" ht="15.75" customHeight="1">
      <c r="J2816" s="4"/>
      <c r="K2816" s="4"/>
    </row>
    <row r="2817" spans="10:11" ht="15.75" customHeight="1">
      <c r="J2817" s="4"/>
      <c r="K2817" s="4"/>
    </row>
    <row r="2818" spans="10:11" ht="15.75" customHeight="1">
      <c r="J2818" s="4"/>
      <c r="K2818" s="4"/>
    </row>
    <row r="2819" spans="10:11" ht="15.75" customHeight="1">
      <c r="J2819" s="4"/>
      <c r="K2819" s="4"/>
    </row>
    <row r="2820" spans="10:11" ht="15.75" customHeight="1">
      <c r="J2820" s="4"/>
      <c r="K2820" s="4"/>
    </row>
    <row r="2821" spans="10:11" ht="15.75" customHeight="1">
      <c r="J2821" s="4"/>
      <c r="K2821" s="4"/>
    </row>
    <row r="2822" spans="10:11" ht="15.75" customHeight="1">
      <c r="J2822" s="4"/>
      <c r="K2822" s="4"/>
    </row>
    <row r="2823" spans="10:11" ht="15.75" customHeight="1">
      <c r="J2823" s="4"/>
      <c r="K2823" s="4"/>
    </row>
    <row r="2824" spans="10:11" ht="15.75" customHeight="1">
      <c r="J2824" s="4"/>
      <c r="K2824" s="4"/>
    </row>
    <row r="2825" spans="10:11" ht="15.75" customHeight="1">
      <c r="J2825" s="4"/>
      <c r="K2825" s="4"/>
    </row>
    <row r="2826" spans="10:11" ht="15.75" customHeight="1">
      <c r="J2826" s="4"/>
      <c r="K2826" s="4"/>
    </row>
    <row r="2827" spans="10:11" ht="15.75" customHeight="1">
      <c r="J2827" s="4"/>
      <c r="K2827" s="4"/>
    </row>
    <row r="2828" spans="10:11" ht="15.75" customHeight="1">
      <c r="J2828" s="4"/>
      <c r="K2828" s="4"/>
    </row>
    <row r="2829" spans="10:11" ht="15.75" customHeight="1">
      <c r="J2829" s="4"/>
      <c r="K2829" s="4"/>
    </row>
    <row r="2830" spans="10:11" ht="15.75" customHeight="1">
      <c r="J2830" s="4"/>
      <c r="K2830" s="4"/>
    </row>
    <row r="2831" spans="10:11" ht="15.75" customHeight="1">
      <c r="J2831" s="4"/>
      <c r="K2831" s="4"/>
    </row>
    <row r="2832" spans="10:11" ht="15.75" customHeight="1">
      <c r="J2832" s="4"/>
      <c r="K2832" s="4"/>
    </row>
    <row r="2833" spans="10:11" ht="15.75" customHeight="1">
      <c r="J2833" s="4"/>
      <c r="K2833" s="4"/>
    </row>
    <row r="2834" spans="10:11" ht="15.75" customHeight="1">
      <c r="J2834" s="4"/>
      <c r="K2834" s="4"/>
    </row>
    <row r="2835" spans="10:11" ht="15.75" customHeight="1">
      <c r="J2835" s="4"/>
      <c r="K2835" s="4"/>
    </row>
    <row r="2836" spans="10:11" ht="15.75" customHeight="1">
      <c r="J2836" s="4"/>
      <c r="K2836" s="4"/>
    </row>
    <row r="2837" spans="10:11" ht="15.75" customHeight="1">
      <c r="J2837" s="4"/>
      <c r="K2837" s="4"/>
    </row>
    <row r="2838" spans="10:11" ht="15.75" customHeight="1">
      <c r="J2838" s="4"/>
      <c r="K2838" s="4"/>
    </row>
    <row r="2839" spans="10:11" ht="15.75" customHeight="1">
      <c r="J2839" s="4"/>
      <c r="K2839" s="4"/>
    </row>
    <row r="2840" spans="10:11" ht="15.75" customHeight="1">
      <c r="J2840" s="4"/>
      <c r="K2840" s="4"/>
    </row>
    <row r="2841" spans="10:11" ht="15.75" customHeight="1">
      <c r="J2841" s="4"/>
      <c r="K2841" s="4"/>
    </row>
    <row r="2842" spans="10:11" ht="15.75" customHeight="1">
      <c r="J2842" s="4"/>
      <c r="K2842" s="4"/>
    </row>
    <row r="2843" spans="10:11" ht="15.75" customHeight="1">
      <c r="J2843" s="4"/>
      <c r="K2843" s="4"/>
    </row>
    <row r="2844" spans="10:11" ht="15.75" customHeight="1">
      <c r="J2844" s="4"/>
      <c r="K2844" s="4"/>
    </row>
    <row r="2845" spans="10:11" ht="15.75" customHeight="1">
      <c r="J2845" s="4"/>
      <c r="K2845" s="4"/>
    </row>
    <row r="2846" spans="10:11" ht="15.75" customHeight="1">
      <c r="J2846" s="4"/>
      <c r="K2846" s="4"/>
    </row>
    <row r="2847" spans="10:11" ht="15.75" customHeight="1">
      <c r="J2847" s="4"/>
      <c r="K2847" s="4"/>
    </row>
    <row r="2848" spans="10:11" ht="15.75" customHeight="1">
      <c r="J2848" s="4"/>
      <c r="K2848" s="4"/>
    </row>
    <row r="2849" spans="10:11" ht="15.75" customHeight="1">
      <c r="J2849" s="4"/>
      <c r="K2849" s="4"/>
    </row>
    <row r="2850" spans="10:11" ht="15.75" customHeight="1">
      <c r="J2850" s="4"/>
      <c r="K2850" s="4"/>
    </row>
    <row r="2851" spans="10:11" ht="15.75" customHeight="1">
      <c r="J2851" s="4"/>
      <c r="K2851" s="4"/>
    </row>
    <row r="2852" spans="10:11" ht="15.75" customHeight="1">
      <c r="J2852" s="4"/>
      <c r="K2852" s="4"/>
    </row>
    <row r="2853" spans="10:11" ht="15.75" customHeight="1">
      <c r="J2853" s="4"/>
      <c r="K2853" s="4"/>
    </row>
    <row r="2854" spans="10:11" ht="15.75" customHeight="1">
      <c r="J2854" s="4"/>
      <c r="K2854" s="4"/>
    </row>
    <row r="2855" spans="10:11" ht="15.75" customHeight="1">
      <c r="J2855" s="4"/>
      <c r="K2855" s="4"/>
    </row>
    <row r="2856" spans="10:11" ht="15.75" customHeight="1">
      <c r="J2856" s="4"/>
      <c r="K2856" s="4"/>
    </row>
    <row r="2857" spans="10:11" ht="15.75" customHeight="1">
      <c r="J2857" s="4"/>
      <c r="K2857" s="4"/>
    </row>
    <row r="2858" spans="10:11" ht="15.75" customHeight="1">
      <c r="J2858" s="4"/>
      <c r="K2858" s="4"/>
    </row>
    <row r="2859" spans="10:11" ht="15.75" customHeight="1">
      <c r="J2859" s="4"/>
      <c r="K2859" s="4"/>
    </row>
    <row r="2860" spans="10:11" ht="15.75" customHeight="1">
      <c r="J2860" s="4"/>
      <c r="K2860" s="4"/>
    </row>
    <row r="2861" spans="10:11" ht="15.75" customHeight="1">
      <c r="J2861" s="4"/>
      <c r="K2861" s="4"/>
    </row>
    <row r="2862" spans="10:11" ht="15.75" customHeight="1">
      <c r="J2862" s="4"/>
      <c r="K2862" s="4"/>
    </row>
    <row r="2863" spans="10:11" ht="15.75" customHeight="1">
      <c r="J2863" s="4"/>
      <c r="K2863" s="4"/>
    </row>
    <row r="2864" spans="10:11" ht="15.75" customHeight="1">
      <c r="J2864" s="4"/>
      <c r="K2864" s="4"/>
    </row>
    <row r="2865" spans="10:11" ht="15.75" customHeight="1">
      <c r="J2865" s="4"/>
      <c r="K2865" s="4"/>
    </row>
    <row r="2866" spans="10:11" ht="15.75" customHeight="1">
      <c r="J2866" s="4"/>
      <c r="K2866" s="4"/>
    </row>
    <row r="2867" spans="10:11" ht="15.75" customHeight="1">
      <c r="J2867" s="4"/>
      <c r="K2867" s="4"/>
    </row>
    <row r="2868" spans="10:11" ht="15.75" customHeight="1">
      <c r="J2868" s="4"/>
      <c r="K2868" s="4"/>
    </row>
    <row r="2869" spans="10:11" ht="15.75" customHeight="1">
      <c r="J2869" s="4"/>
      <c r="K2869" s="4"/>
    </row>
    <row r="2870" spans="10:11" ht="15.75" customHeight="1">
      <c r="J2870" s="4"/>
      <c r="K2870" s="4"/>
    </row>
    <row r="2871" spans="10:11" ht="15.75" customHeight="1">
      <c r="J2871" s="4"/>
      <c r="K2871" s="4"/>
    </row>
    <row r="2872" spans="10:11" ht="15.75" customHeight="1">
      <c r="J2872" s="4"/>
      <c r="K2872" s="4"/>
    </row>
    <row r="2873" spans="10:11" ht="15.75" customHeight="1">
      <c r="J2873" s="4"/>
      <c r="K2873" s="4"/>
    </row>
    <row r="2874" spans="10:11" ht="15.75" customHeight="1">
      <c r="J2874" s="4"/>
      <c r="K2874" s="4"/>
    </row>
    <row r="2875" spans="10:11" ht="15.75" customHeight="1">
      <c r="J2875" s="4"/>
      <c r="K2875" s="4"/>
    </row>
    <row r="2876" spans="10:11" ht="15.75" customHeight="1">
      <c r="J2876" s="4"/>
      <c r="K2876" s="4"/>
    </row>
    <row r="2877" spans="10:11" ht="15.75" customHeight="1">
      <c r="J2877" s="4"/>
      <c r="K2877" s="4"/>
    </row>
    <row r="2878" spans="10:11" ht="15.75" customHeight="1">
      <c r="J2878" s="4"/>
      <c r="K2878" s="4"/>
    </row>
    <row r="2879" spans="10:11" ht="15.75" customHeight="1">
      <c r="J2879" s="4"/>
      <c r="K2879" s="4"/>
    </row>
    <row r="2880" spans="10:11" ht="15.75" customHeight="1">
      <c r="J2880" s="4"/>
      <c r="K2880" s="4"/>
    </row>
    <row r="2881" spans="10:11" ht="15.75" customHeight="1">
      <c r="J2881" s="4"/>
      <c r="K2881" s="4"/>
    </row>
    <row r="2882" spans="10:11" ht="15.75" customHeight="1">
      <c r="J2882" s="4"/>
      <c r="K2882" s="4"/>
    </row>
    <row r="2883" spans="10:11" ht="15.75" customHeight="1">
      <c r="J2883" s="4"/>
      <c r="K2883" s="4"/>
    </row>
    <row r="2884" spans="10:11" ht="15.75" customHeight="1">
      <c r="J2884" s="4"/>
      <c r="K2884" s="4"/>
    </row>
    <row r="2885" spans="10:11" ht="15.75" customHeight="1">
      <c r="J2885" s="4"/>
      <c r="K2885" s="4"/>
    </row>
    <row r="2886" spans="10:11" ht="15.75" customHeight="1">
      <c r="J2886" s="4"/>
      <c r="K2886" s="4"/>
    </row>
    <row r="2887" spans="10:11" ht="15.75" customHeight="1">
      <c r="J2887" s="4"/>
      <c r="K2887" s="4"/>
    </row>
    <row r="2888" spans="10:11" ht="15.75" customHeight="1">
      <c r="J2888" s="4"/>
      <c r="K2888" s="4"/>
    </row>
    <row r="2889" spans="10:11" ht="15.75" customHeight="1">
      <c r="J2889" s="4"/>
      <c r="K2889" s="4"/>
    </row>
    <row r="2890" spans="10:11" ht="15.75" customHeight="1">
      <c r="J2890" s="4"/>
      <c r="K2890" s="4"/>
    </row>
    <row r="2891" spans="10:11" ht="15.75" customHeight="1">
      <c r="J2891" s="4"/>
      <c r="K2891" s="4"/>
    </row>
    <row r="2892" spans="10:11" ht="15.75" customHeight="1">
      <c r="J2892" s="4"/>
      <c r="K2892" s="4"/>
    </row>
    <row r="2893" spans="10:11" ht="15.75" customHeight="1">
      <c r="J2893" s="4"/>
      <c r="K2893" s="4"/>
    </row>
    <row r="2894" spans="10:11" ht="15.75" customHeight="1">
      <c r="J2894" s="4"/>
      <c r="K2894" s="4"/>
    </row>
    <row r="2895" spans="10:11" ht="15.75" customHeight="1">
      <c r="J2895" s="4"/>
      <c r="K2895" s="4"/>
    </row>
    <row r="2896" spans="10:11" ht="15.75" customHeight="1">
      <c r="J2896" s="4"/>
      <c r="K2896" s="4"/>
    </row>
    <row r="2897" spans="10:11" ht="15.75" customHeight="1">
      <c r="J2897" s="4"/>
      <c r="K2897" s="4"/>
    </row>
    <row r="2898" spans="10:11" ht="15.75" customHeight="1">
      <c r="J2898" s="4"/>
      <c r="K2898" s="4"/>
    </row>
    <row r="2899" spans="10:11" ht="15.75" customHeight="1">
      <c r="J2899" s="4"/>
      <c r="K2899" s="4"/>
    </row>
    <row r="2900" spans="10:11" ht="15.75" customHeight="1">
      <c r="J2900" s="4"/>
      <c r="K2900" s="4"/>
    </row>
    <row r="2901" spans="10:11" ht="15.75" customHeight="1">
      <c r="J2901" s="4"/>
      <c r="K2901" s="4"/>
    </row>
    <row r="2902" spans="10:11" ht="15.75" customHeight="1">
      <c r="J2902" s="4"/>
      <c r="K2902" s="4"/>
    </row>
    <row r="2903" spans="10:11" ht="15.75" customHeight="1">
      <c r="J2903" s="4"/>
      <c r="K2903" s="4"/>
    </row>
    <row r="2904" spans="10:11" ht="15.75" customHeight="1">
      <c r="J2904" s="4"/>
      <c r="K2904" s="4"/>
    </row>
    <row r="2905" spans="10:11" ht="15.75" customHeight="1">
      <c r="J2905" s="4"/>
      <c r="K2905" s="4"/>
    </row>
    <row r="2906" spans="10:11" ht="15.75" customHeight="1">
      <c r="J2906" s="4"/>
      <c r="K2906" s="4"/>
    </row>
    <row r="2907" spans="10:11" ht="15.75" customHeight="1">
      <c r="J2907" s="4"/>
      <c r="K2907" s="4"/>
    </row>
    <row r="2908" spans="10:11" ht="15.75" customHeight="1">
      <c r="J2908" s="4"/>
      <c r="K2908" s="4"/>
    </row>
    <row r="2909" spans="10:11" ht="15.75" customHeight="1">
      <c r="J2909" s="4"/>
      <c r="K2909" s="4"/>
    </row>
    <row r="2910" spans="10:11" ht="15.75" customHeight="1">
      <c r="J2910" s="4"/>
      <c r="K2910" s="4"/>
    </row>
    <row r="2911" spans="10:11" ht="15.75" customHeight="1">
      <c r="J2911" s="4"/>
      <c r="K2911" s="4"/>
    </row>
    <row r="2912" spans="10:11" ht="15.75" customHeight="1">
      <c r="J2912" s="4"/>
      <c r="K2912" s="4"/>
    </row>
    <row r="2913" spans="10:11" ht="15.75" customHeight="1">
      <c r="J2913" s="4"/>
      <c r="K2913" s="4"/>
    </row>
    <row r="2914" spans="10:11" ht="15.75" customHeight="1">
      <c r="J2914" s="4"/>
      <c r="K2914" s="4"/>
    </row>
    <row r="2915" spans="10:11" ht="15.75" customHeight="1">
      <c r="J2915" s="4"/>
      <c r="K2915" s="4"/>
    </row>
    <row r="2916" spans="10:11" ht="15.75" customHeight="1">
      <c r="J2916" s="4"/>
      <c r="K2916" s="4"/>
    </row>
    <row r="2917" spans="10:11" ht="15.75" customHeight="1">
      <c r="J2917" s="4"/>
      <c r="K2917" s="4"/>
    </row>
    <row r="2918" spans="10:11" ht="15.75" customHeight="1">
      <c r="J2918" s="4"/>
      <c r="K2918" s="4"/>
    </row>
    <row r="2919" spans="10:11" ht="15.75" customHeight="1">
      <c r="J2919" s="4"/>
      <c r="K2919" s="4"/>
    </row>
    <row r="2920" spans="10:11" ht="15.75" customHeight="1">
      <c r="J2920" s="4"/>
      <c r="K2920" s="4"/>
    </row>
    <row r="2921" spans="10:11" ht="15.75" customHeight="1">
      <c r="J2921" s="4"/>
      <c r="K2921" s="4"/>
    </row>
    <row r="2922" spans="10:11" ht="15.75" customHeight="1">
      <c r="J2922" s="4"/>
      <c r="K2922" s="4"/>
    </row>
    <row r="2923" spans="10:11" ht="15.75" customHeight="1">
      <c r="J2923" s="4"/>
      <c r="K2923" s="4"/>
    </row>
    <row r="2924" spans="10:11" ht="15.75" customHeight="1">
      <c r="J2924" s="4"/>
      <c r="K2924" s="4"/>
    </row>
    <row r="2925" spans="10:11" ht="15.75" customHeight="1">
      <c r="J2925" s="4"/>
      <c r="K2925" s="4"/>
    </row>
    <row r="2926" spans="10:11" ht="15.75" customHeight="1">
      <c r="J2926" s="4"/>
      <c r="K2926" s="4"/>
    </row>
    <row r="2927" spans="10:11" ht="15.75" customHeight="1">
      <c r="J2927" s="4"/>
      <c r="K2927" s="4"/>
    </row>
    <row r="2928" spans="10:11" ht="15.75" customHeight="1">
      <c r="J2928" s="4"/>
      <c r="K2928" s="4"/>
    </row>
    <row r="2929" spans="10:11" ht="15.75" customHeight="1">
      <c r="J2929" s="4"/>
      <c r="K2929" s="4"/>
    </row>
    <row r="2930" spans="10:11" ht="15.75" customHeight="1">
      <c r="J2930" s="4"/>
      <c r="K2930" s="4"/>
    </row>
    <row r="2931" spans="10:11" ht="15.75" customHeight="1">
      <c r="J2931" s="4"/>
      <c r="K2931" s="4"/>
    </row>
    <row r="2932" spans="10:11" ht="15.75" customHeight="1">
      <c r="J2932" s="4"/>
      <c r="K2932" s="4"/>
    </row>
    <row r="2933" spans="10:11" ht="15.75" customHeight="1">
      <c r="J2933" s="4"/>
      <c r="K2933" s="4"/>
    </row>
    <row r="2934" spans="10:11" ht="15.75" customHeight="1">
      <c r="J2934" s="4"/>
      <c r="K2934" s="4"/>
    </row>
    <row r="2935" spans="10:11" ht="15.75" customHeight="1">
      <c r="J2935" s="4"/>
      <c r="K2935" s="4"/>
    </row>
    <row r="2936" spans="10:11" ht="15.75" customHeight="1">
      <c r="J2936" s="4"/>
      <c r="K2936" s="4"/>
    </row>
    <row r="2937" spans="10:11" ht="15.75" customHeight="1">
      <c r="J2937" s="4"/>
      <c r="K2937" s="4"/>
    </row>
    <row r="2938" spans="10:11" ht="15.75" customHeight="1">
      <c r="J2938" s="4"/>
      <c r="K2938" s="4"/>
    </row>
    <row r="2939" spans="10:11" ht="15.75" customHeight="1">
      <c r="J2939" s="4"/>
      <c r="K2939" s="4"/>
    </row>
    <row r="2940" spans="10:11" ht="15.75" customHeight="1">
      <c r="J2940" s="4"/>
      <c r="K2940" s="4"/>
    </row>
    <row r="2941" spans="10:11" ht="15.75" customHeight="1">
      <c r="J2941" s="4"/>
      <c r="K2941" s="4"/>
    </row>
    <row r="2942" spans="10:11" ht="15.75" customHeight="1">
      <c r="J2942" s="4"/>
      <c r="K2942" s="4"/>
    </row>
    <row r="2943" spans="10:11" ht="15.75" customHeight="1">
      <c r="J2943" s="4"/>
      <c r="K2943" s="4"/>
    </row>
    <row r="2944" spans="10:11" ht="15.75" customHeight="1">
      <c r="J2944" s="4"/>
      <c r="K2944" s="4"/>
    </row>
    <row r="2945" spans="10:11" ht="15.75" customHeight="1">
      <c r="J2945" s="4"/>
      <c r="K2945" s="4"/>
    </row>
    <row r="2946" spans="10:11" ht="15.75" customHeight="1">
      <c r="J2946" s="4"/>
      <c r="K2946" s="4"/>
    </row>
    <row r="2947" spans="10:11" ht="15.75" customHeight="1">
      <c r="J2947" s="4"/>
      <c r="K2947" s="4"/>
    </row>
    <row r="2948" spans="10:11" ht="15.75" customHeight="1">
      <c r="J2948" s="4"/>
      <c r="K2948" s="4"/>
    </row>
    <row r="2949" spans="10:11" ht="15.75" customHeight="1">
      <c r="J2949" s="4"/>
      <c r="K2949" s="4"/>
    </row>
    <row r="2950" spans="10:11" ht="15.75" customHeight="1">
      <c r="J2950" s="4"/>
      <c r="K2950" s="4"/>
    </row>
    <row r="2951" spans="10:11" ht="15.75" customHeight="1">
      <c r="J2951" s="4"/>
      <c r="K2951" s="4"/>
    </row>
    <row r="2952" spans="10:11" ht="15.75" customHeight="1">
      <c r="J2952" s="4"/>
      <c r="K2952" s="4"/>
    </row>
    <row r="2953" spans="10:11" ht="15.75" customHeight="1">
      <c r="J2953" s="4"/>
      <c r="K2953" s="4"/>
    </row>
    <row r="2954" spans="10:11" ht="15.75" customHeight="1">
      <c r="J2954" s="4"/>
      <c r="K2954" s="4"/>
    </row>
    <row r="2955" spans="10:11" ht="15.75" customHeight="1">
      <c r="J2955" s="4"/>
      <c r="K2955" s="4"/>
    </row>
    <row r="2956" spans="10:11" ht="15.75" customHeight="1">
      <c r="J2956" s="4"/>
      <c r="K2956" s="4"/>
    </row>
    <row r="2957" spans="10:11" ht="15.75" customHeight="1">
      <c r="J2957" s="4"/>
      <c r="K2957" s="4"/>
    </row>
    <row r="2958" spans="10:11" ht="15.75" customHeight="1">
      <c r="J2958" s="4"/>
      <c r="K2958" s="4"/>
    </row>
    <row r="2959" spans="10:11" ht="15.75" customHeight="1">
      <c r="J2959" s="4"/>
      <c r="K2959" s="4"/>
    </row>
    <row r="2960" spans="10:11" ht="15.75" customHeight="1">
      <c r="J2960" s="4"/>
      <c r="K2960" s="4"/>
    </row>
    <row r="2961" spans="10:11" ht="15.75" customHeight="1">
      <c r="J2961" s="4"/>
      <c r="K2961" s="4"/>
    </row>
    <row r="2962" spans="10:11" ht="15.75" customHeight="1">
      <c r="J2962" s="4"/>
      <c r="K2962" s="4"/>
    </row>
    <row r="2963" spans="10:11" ht="15.75" customHeight="1">
      <c r="J2963" s="4"/>
      <c r="K2963" s="4"/>
    </row>
    <row r="2964" spans="10:11" ht="15.75" customHeight="1">
      <c r="J2964" s="4"/>
      <c r="K2964" s="4"/>
    </row>
    <row r="2965" spans="10:11" ht="15.75" customHeight="1">
      <c r="J2965" s="4"/>
      <c r="K2965" s="4"/>
    </row>
    <row r="2966" spans="10:11" ht="15.75" customHeight="1">
      <c r="J2966" s="4"/>
      <c r="K2966" s="4"/>
    </row>
    <row r="2967" spans="10:11" ht="15.75" customHeight="1">
      <c r="J2967" s="4"/>
      <c r="K2967" s="4"/>
    </row>
    <row r="2968" spans="10:11" ht="15.75" customHeight="1">
      <c r="J2968" s="4"/>
      <c r="K2968" s="4"/>
    </row>
    <row r="2969" spans="10:11" ht="15.75" customHeight="1">
      <c r="J2969" s="4"/>
      <c r="K2969" s="4"/>
    </row>
    <row r="2970" spans="10:11" ht="15.75" customHeight="1">
      <c r="J2970" s="4"/>
      <c r="K2970" s="4"/>
    </row>
    <row r="2971" spans="10:11" ht="15.75" customHeight="1">
      <c r="J2971" s="4"/>
      <c r="K2971" s="4"/>
    </row>
    <row r="2972" spans="10:11" ht="15.75" customHeight="1">
      <c r="J2972" s="4"/>
      <c r="K2972" s="4"/>
    </row>
    <row r="2973" spans="10:11" ht="15.75" customHeight="1">
      <c r="J2973" s="4"/>
      <c r="K2973" s="4"/>
    </row>
    <row r="2974" spans="10:11" ht="15.75" customHeight="1">
      <c r="J2974" s="4"/>
      <c r="K2974" s="4"/>
    </row>
    <row r="2975" spans="10:11" ht="15.75" customHeight="1">
      <c r="J2975" s="4"/>
      <c r="K2975" s="4"/>
    </row>
    <row r="2976" spans="10:11" ht="15.75" customHeight="1">
      <c r="J2976" s="4"/>
      <c r="K2976" s="4"/>
    </row>
    <row r="2977" spans="10:11" ht="15.75" customHeight="1">
      <c r="J2977" s="4"/>
      <c r="K2977" s="4"/>
    </row>
    <row r="2978" spans="10:11" ht="15.75" customHeight="1">
      <c r="J2978" s="4"/>
      <c r="K2978" s="4"/>
    </row>
    <row r="2979" spans="10:11" ht="15.75" customHeight="1">
      <c r="J2979" s="4"/>
      <c r="K2979" s="4"/>
    </row>
    <row r="2980" spans="10:11" ht="15.75" customHeight="1">
      <c r="J2980" s="4"/>
      <c r="K2980" s="4"/>
    </row>
    <row r="2981" spans="10:11" ht="15.75" customHeight="1">
      <c r="J2981" s="4"/>
      <c r="K2981" s="4"/>
    </row>
    <row r="2982" spans="10:11" ht="15.75" customHeight="1">
      <c r="J2982" s="4"/>
      <c r="K2982" s="4"/>
    </row>
    <row r="2983" spans="10:11" ht="15.75" customHeight="1">
      <c r="J2983" s="4"/>
      <c r="K2983" s="4"/>
    </row>
    <row r="2984" spans="10:11" ht="15.75" customHeight="1">
      <c r="J2984" s="4"/>
      <c r="K2984" s="4"/>
    </row>
    <row r="2985" spans="10:11" ht="15.75" customHeight="1">
      <c r="J2985" s="4"/>
      <c r="K2985" s="4"/>
    </row>
    <row r="2986" spans="10:11" ht="15.75" customHeight="1">
      <c r="J2986" s="4"/>
      <c r="K2986" s="4"/>
    </row>
    <row r="2987" spans="10:11" ht="15.75" customHeight="1">
      <c r="J2987" s="4"/>
      <c r="K2987" s="4"/>
    </row>
    <row r="2988" spans="10:11" ht="15.75" customHeight="1">
      <c r="J2988" s="4"/>
      <c r="K2988" s="4"/>
    </row>
    <row r="2989" spans="10:11" ht="15.75" customHeight="1">
      <c r="J2989" s="4"/>
      <c r="K2989" s="4"/>
    </row>
    <row r="2990" spans="10:11" ht="15.75" customHeight="1">
      <c r="J2990" s="4"/>
      <c r="K2990" s="4"/>
    </row>
    <row r="2991" spans="10:11" ht="15.75" customHeight="1">
      <c r="J2991" s="4"/>
      <c r="K2991" s="4"/>
    </row>
    <row r="2992" spans="10:11" ht="15.75" customHeight="1">
      <c r="J2992" s="4"/>
      <c r="K2992" s="4"/>
    </row>
    <row r="2993" spans="10:11" ht="15.75" customHeight="1">
      <c r="J2993" s="4"/>
      <c r="K2993" s="4"/>
    </row>
    <row r="2994" spans="10:11" ht="15.75" customHeight="1">
      <c r="J2994" s="4"/>
      <c r="K2994" s="4"/>
    </row>
    <row r="2995" spans="10:11" ht="15.75" customHeight="1">
      <c r="J2995" s="4"/>
      <c r="K2995" s="4"/>
    </row>
    <row r="2996" spans="10:11" ht="15.75" customHeight="1">
      <c r="J2996" s="4"/>
      <c r="K2996" s="4"/>
    </row>
    <row r="2997" spans="10:11" ht="15.75" customHeight="1">
      <c r="J2997" s="4"/>
      <c r="K2997" s="4"/>
    </row>
    <row r="2998" spans="10:11" ht="15.75" customHeight="1">
      <c r="J2998" s="4"/>
      <c r="K2998" s="4"/>
    </row>
    <row r="2999" spans="10:11" ht="15.75" customHeight="1">
      <c r="J2999" s="4"/>
      <c r="K2999" s="4"/>
    </row>
    <row r="3000" spans="10:11" ht="15.75" customHeight="1">
      <c r="J3000" s="4"/>
      <c r="K3000" s="4"/>
    </row>
    <row r="3001" spans="10:11" ht="15.75" customHeight="1">
      <c r="J3001" s="4"/>
      <c r="K3001" s="4"/>
    </row>
    <row r="3002" spans="10:11" ht="15.75" customHeight="1">
      <c r="J3002" s="4"/>
      <c r="K3002" s="4"/>
    </row>
    <row r="3003" spans="10:11" ht="15.75" customHeight="1">
      <c r="J3003" s="4"/>
      <c r="K3003" s="4"/>
    </row>
    <row r="3004" spans="10:11" ht="15.75" customHeight="1">
      <c r="J3004" s="4"/>
      <c r="K3004" s="4"/>
    </row>
    <row r="3005" spans="10:11" ht="15.75" customHeight="1">
      <c r="J3005" s="4"/>
      <c r="K3005" s="4"/>
    </row>
    <row r="3006" spans="10:11" ht="15.75" customHeight="1">
      <c r="J3006" s="4"/>
      <c r="K3006" s="4"/>
    </row>
    <row r="3007" spans="10:11" ht="15.75" customHeight="1">
      <c r="J3007" s="4"/>
      <c r="K3007" s="4"/>
    </row>
    <row r="3008" spans="10:11" ht="15.75" customHeight="1">
      <c r="J3008" s="4"/>
      <c r="K3008" s="4"/>
    </row>
    <row r="3009" spans="10:11" ht="15.75" customHeight="1">
      <c r="J3009" s="4"/>
      <c r="K3009" s="4"/>
    </row>
    <row r="3010" spans="10:11" ht="15.75" customHeight="1">
      <c r="J3010" s="4"/>
      <c r="K3010" s="4"/>
    </row>
    <row r="3011" spans="10:11" ht="15.75" customHeight="1">
      <c r="J3011" s="4"/>
      <c r="K3011" s="4"/>
    </row>
    <row r="3012" spans="10:11" ht="15.75" customHeight="1">
      <c r="J3012" s="4"/>
      <c r="K3012" s="4"/>
    </row>
    <row r="3013" spans="10:11" ht="15.75" customHeight="1">
      <c r="J3013" s="4"/>
      <c r="K3013" s="4"/>
    </row>
    <row r="3014" spans="10:11" ht="15.75" customHeight="1">
      <c r="J3014" s="4"/>
      <c r="K3014" s="4"/>
    </row>
    <row r="3015" spans="10:11" ht="15.75" customHeight="1">
      <c r="J3015" s="4"/>
      <c r="K3015" s="4"/>
    </row>
    <row r="3016" spans="10:11" ht="15.75" customHeight="1">
      <c r="J3016" s="4"/>
      <c r="K3016" s="4"/>
    </row>
    <row r="3017" spans="10:11" ht="15.75" customHeight="1">
      <c r="J3017" s="4"/>
      <c r="K3017" s="4"/>
    </row>
    <row r="3018" spans="10:11" ht="15.75" customHeight="1">
      <c r="J3018" s="4"/>
      <c r="K3018" s="4"/>
    </row>
    <row r="3019" spans="10:11" ht="15.75" customHeight="1">
      <c r="J3019" s="4"/>
      <c r="K3019" s="4"/>
    </row>
    <row r="3020" spans="10:11" ht="15.75" customHeight="1">
      <c r="J3020" s="4"/>
      <c r="K3020" s="4"/>
    </row>
    <row r="3021" spans="10:11" ht="15.75" customHeight="1">
      <c r="J3021" s="4"/>
      <c r="K3021" s="4"/>
    </row>
    <row r="3022" spans="10:11" ht="15.75" customHeight="1">
      <c r="J3022" s="4"/>
      <c r="K3022" s="4"/>
    </row>
    <row r="3023" spans="10:11" ht="15.75" customHeight="1">
      <c r="J3023" s="4"/>
      <c r="K3023" s="4"/>
    </row>
    <row r="3024" spans="10:11" ht="15.75" customHeight="1">
      <c r="J3024" s="4"/>
      <c r="K3024" s="4"/>
    </row>
    <row r="3025" spans="10:11" ht="15.75" customHeight="1">
      <c r="J3025" s="4"/>
      <c r="K3025" s="4"/>
    </row>
    <row r="3026" spans="10:11" ht="15.75" customHeight="1">
      <c r="J3026" s="4"/>
      <c r="K3026" s="4"/>
    </row>
    <row r="3027" spans="10:11" ht="15.75" customHeight="1">
      <c r="J3027" s="4"/>
      <c r="K3027" s="4"/>
    </row>
    <row r="3028" spans="10:11" ht="15.75" customHeight="1">
      <c r="J3028" s="4"/>
      <c r="K3028" s="4"/>
    </row>
    <row r="3029" spans="10:11" ht="15.75" customHeight="1">
      <c r="J3029" s="4"/>
      <c r="K3029" s="4"/>
    </row>
    <row r="3030" spans="10:11" ht="15.75" customHeight="1">
      <c r="J3030" s="4"/>
      <c r="K3030" s="4"/>
    </row>
    <row r="3031" spans="10:11" ht="15.75" customHeight="1">
      <c r="J3031" s="4"/>
      <c r="K3031" s="4"/>
    </row>
    <row r="3032" spans="10:11" ht="15.75" customHeight="1">
      <c r="J3032" s="4"/>
      <c r="K3032" s="4"/>
    </row>
    <row r="3033" spans="10:11" ht="15.75" customHeight="1">
      <c r="J3033" s="4"/>
      <c r="K3033" s="4"/>
    </row>
    <row r="3034" spans="10:11" ht="15.75" customHeight="1">
      <c r="J3034" s="4"/>
      <c r="K3034" s="4"/>
    </row>
    <row r="3035" spans="10:11" ht="15.75" customHeight="1">
      <c r="J3035" s="4"/>
      <c r="K3035" s="4"/>
    </row>
    <row r="3036" spans="10:11" ht="15.75" customHeight="1">
      <c r="J3036" s="4"/>
      <c r="K3036" s="4"/>
    </row>
    <row r="3037" spans="10:11" ht="15.75" customHeight="1">
      <c r="J3037" s="4"/>
      <c r="K3037" s="4"/>
    </row>
    <row r="3038" spans="10:11" ht="15.75" customHeight="1">
      <c r="J3038" s="4"/>
      <c r="K3038" s="4"/>
    </row>
    <row r="3039" spans="10:11" ht="15.75" customHeight="1">
      <c r="J3039" s="4"/>
      <c r="K3039" s="4"/>
    </row>
    <row r="3040" spans="10:11" ht="15.75" customHeight="1">
      <c r="J3040" s="4"/>
      <c r="K3040" s="4"/>
    </row>
    <row r="3041" spans="10:11" ht="15.75" customHeight="1">
      <c r="J3041" s="4"/>
      <c r="K3041" s="4"/>
    </row>
    <row r="3042" spans="10:11" ht="15.75" customHeight="1">
      <c r="J3042" s="4"/>
      <c r="K3042" s="4"/>
    </row>
    <row r="3043" spans="10:11" ht="15.75" customHeight="1">
      <c r="J3043" s="4"/>
      <c r="K3043" s="4"/>
    </row>
    <row r="3044" spans="10:11" ht="15.75" customHeight="1">
      <c r="J3044" s="4"/>
      <c r="K3044" s="4"/>
    </row>
    <row r="3045" spans="10:11" ht="15.75" customHeight="1">
      <c r="J3045" s="4"/>
      <c r="K3045" s="4"/>
    </row>
    <row r="3046" spans="10:11" ht="15.75" customHeight="1">
      <c r="J3046" s="4"/>
      <c r="K3046" s="4"/>
    </row>
    <row r="3047" spans="10:11" ht="15.75" customHeight="1">
      <c r="J3047" s="4"/>
      <c r="K3047" s="4"/>
    </row>
    <row r="3048" spans="10:11" ht="15.75" customHeight="1">
      <c r="J3048" s="4"/>
      <c r="K3048" s="4"/>
    </row>
    <row r="3049" spans="10:11" ht="15.75" customHeight="1">
      <c r="J3049" s="4"/>
      <c r="K3049" s="4"/>
    </row>
    <row r="3050" spans="10:11" ht="15.75" customHeight="1">
      <c r="J3050" s="4"/>
      <c r="K3050" s="4"/>
    </row>
    <row r="3051" spans="10:11" ht="15.75" customHeight="1">
      <c r="J3051" s="4"/>
      <c r="K3051" s="4"/>
    </row>
    <row r="3052" spans="10:11" ht="15.75" customHeight="1">
      <c r="J3052" s="4"/>
      <c r="K3052" s="4"/>
    </row>
    <row r="3053" spans="10:11" ht="15.75" customHeight="1">
      <c r="J3053" s="4"/>
      <c r="K3053" s="4"/>
    </row>
    <row r="3054" spans="10:11" ht="15.75" customHeight="1">
      <c r="J3054" s="4"/>
      <c r="K3054" s="4"/>
    </row>
    <row r="3055" spans="10:11" ht="15.75" customHeight="1">
      <c r="J3055" s="4"/>
      <c r="K3055" s="4"/>
    </row>
    <row r="3056" spans="10:11" ht="15.75" customHeight="1">
      <c r="J3056" s="4"/>
      <c r="K3056" s="4"/>
    </row>
    <row r="3057" spans="10:11" ht="15.75" customHeight="1">
      <c r="J3057" s="4"/>
      <c r="K3057" s="4"/>
    </row>
    <row r="3058" spans="10:11" ht="15.75" customHeight="1">
      <c r="J3058" s="4"/>
      <c r="K3058" s="4"/>
    </row>
    <row r="3059" spans="10:11" ht="15.75" customHeight="1">
      <c r="J3059" s="4"/>
      <c r="K3059" s="4"/>
    </row>
    <row r="3060" spans="10:11" ht="15.75" customHeight="1">
      <c r="J3060" s="4"/>
      <c r="K3060" s="4"/>
    </row>
    <row r="3061" spans="10:11" ht="15.75" customHeight="1">
      <c r="J3061" s="4"/>
      <c r="K3061" s="4"/>
    </row>
    <row r="3062" spans="10:11" ht="15.75" customHeight="1">
      <c r="J3062" s="4"/>
      <c r="K3062" s="4"/>
    </row>
    <row r="3063" spans="10:11" ht="15.75" customHeight="1">
      <c r="J3063" s="4"/>
      <c r="K3063" s="4"/>
    </row>
    <row r="3064" spans="10:11" ht="15.75" customHeight="1">
      <c r="J3064" s="4"/>
      <c r="K3064" s="4"/>
    </row>
    <row r="3065" spans="10:11" ht="15.75" customHeight="1">
      <c r="J3065" s="4"/>
      <c r="K3065" s="4"/>
    </row>
    <row r="3066" spans="10:11" ht="15.75" customHeight="1">
      <c r="J3066" s="4"/>
      <c r="K3066" s="4"/>
    </row>
    <row r="3067" spans="10:11" ht="15.75" customHeight="1">
      <c r="J3067" s="4"/>
      <c r="K3067" s="4"/>
    </row>
    <row r="3068" spans="10:11" ht="15.75" customHeight="1">
      <c r="J3068" s="4"/>
      <c r="K3068" s="4"/>
    </row>
    <row r="3069" spans="10:11" ht="15.75" customHeight="1">
      <c r="J3069" s="4"/>
      <c r="K3069" s="4"/>
    </row>
    <row r="3070" spans="10:11" ht="15.75" customHeight="1">
      <c r="J3070" s="4"/>
      <c r="K3070" s="4"/>
    </row>
    <row r="3071" spans="10:11" ht="15.75" customHeight="1">
      <c r="J3071" s="4"/>
      <c r="K3071" s="4"/>
    </row>
    <row r="3072" spans="10:11" ht="15.75" customHeight="1">
      <c r="J3072" s="4"/>
      <c r="K3072" s="4"/>
    </row>
    <row r="3073" spans="10:11" ht="15.75" customHeight="1">
      <c r="J3073" s="4"/>
      <c r="K3073" s="4"/>
    </row>
    <row r="3074" spans="10:11" ht="15.75" customHeight="1">
      <c r="J3074" s="4"/>
      <c r="K3074" s="4"/>
    </row>
    <row r="3075" spans="10:11" ht="15.75" customHeight="1">
      <c r="J3075" s="4"/>
      <c r="K3075" s="4"/>
    </row>
    <row r="3076" spans="10:11" ht="15.75" customHeight="1">
      <c r="J3076" s="4"/>
      <c r="K3076" s="4"/>
    </row>
    <row r="3077" spans="10:11" ht="15.75" customHeight="1">
      <c r="J3077" s="4"/>
      <c r="K3077" s="4"/>
    </row>
    <row r="3078" spans="10:11" ht="15.75" customHeight="1">
      <c r="J3078" s="4"/>
      <c r="K3078" s="4"/>
    </row>
    <row r="3079" spans="10:11" ht="15.75" customHeight="1">
      <c r="J3079" s="4"/>
      <c r="K3079" s="4"/>
    </row>
    <row r="3080" spans="10:11" ht="15.75" customHeight="1">
      <c r="J3080" s="4"/>
      <c r="K3080" s="4"/>
    </row>
    <row r="3081" spans="10:11" ht="15.75" customHeight="1">
      <c r="J3081" s="4"/>
      <c r="K3081" s="4"/>
    </row>
    <row r="3082" spans="10:11" ht="15.75" customHeight="1">
      <c r="J3082" s="4"/>
      <c r="K3082" s="4"/>
    </row>
    <row r="3083" spans="10:11" ht="15.75" customHeight="1">
      <c r="J3083" s="4"/>
      <c r="K3083" s="4"/>
    </row>
    <row r="3084" spans="10:11" ht="15.75" customHeight="1">
      <c r="J3084" s="4"/>
      <c r="K3084" s="4"/>
    </row>
    <row r="3085" spans="10:11" ht="15.75" customHeight="1">
      <c r="J3085" s="4"/>
      <c r="K3085" s="4"/>
    </row>
    <row r="3086" spans="10:11" ht="15.75" customHeight="1">
      <c r="J3086" s="4"/>
      <c r="K3086" s="4"/>
    </row>
    <row r="3087" spans="10:11" ht="15.75" customHeight="1">
      <c r="J3087" s="4"/>
      <c r="K3087" s="4"/>
    </row>
    <row r="3088" spans="10:11" ht="15.75" customHeight="1">
      <c r="J3088" s="4"/>
      <c r="K3088" s="4"/>
    </row>
    <row r="3089" spans="10:11" ht="15.75" customHeight="1">
      <c r="J3089" s="4"/>
      <c r="K3089" s="4"/>
    </row>
    <row r="3090" spans="10:11" ht="15.75" customHeight="1">
      <c r="J3090" s="4"/>
      <c r="K3090" s="4"/>
    </row>
    <row r="3091" spans="10:11" ht="15.75" customHeight="1">
      <c r="J3091" s="4"/>
      <c r="K3091" s="4"/>
    </row>
    <row r="3092" spans="10:11" ht="15.75" customHeight="1">
      <c r="J3092" s="4"/>
      <c r="K3092" s="4"/>
    </row>
    <row r="3093" spans="10:11" ht="15.75" customHeight="1">
      <c r="J3093" s="4"/>
      <c r="K3093" s="4"/>
    </row>
    <row r="3094" spans="10:11" ht="15.75" customHeight="1">
      <c r="J3094" s="4"/>
      <c r="K3094" s="4"/>
    </row>
    <row r="3095" spans="10:11" ht="15.75" customHeight="1">
      <c r="J3095" s="4"/>
      <c r="K3095" s="4"/>
    </row>
    <row r="3096" spans="10:11" ht="15.75" customHeight="1">
      <c r="J3096" s="4"/>
      <c r="K3096" s="4"/>
    </row>
    <row r="3097" spans="10:11" ht="15.75" customHeight="1">
      <c r="J3097" s="4"/>
      <c r="K3097" s="4"/>
    </row>
    <row r="3098" spans="10:11" ht="15.75" customHeight="1">
      <c r="J3098" s="4"/>
      <c r="K3098" s="4"/>
    </row>
    <row r="3099" spans="10:11" ht="15.75" customHeight="1">
      <c r="J3099" s="4"/>
      <c r="K3099" s="4"/>
    </row>
    <row r="3100" spans="10:11" ht="15.75" customHeight="1">
      <c r="J3100" s="4"/>
      <c r="K3100" s="4"/>
    </row>
    <row r="3101" spans="10:11" ht="15.75" customHeight="1">
      <c r="J3101" s="4"/>
      <c r="K3101" s="4"/>
    </row>
    <row r="3102" spans="10:11" ht="15.75" customHeight="1">
      <c r="J3102" s="4"/>
      <c r="K3102" s="4"/>
    </row>
    <row r="3103" spans="10:11" ht="15.75" customHeight="1">
      <c r="J3103" s="4"/>
      <c r="K3103" s="4"/>
    </row>
    <row r="3104" spans="10:11" ht="15.75" customHeight="1">
      <c r="J3104" s="4"/>
      <c r="K3104" s="4"/>
    </row>
    <row r="3105" spans="10:11" ht="15.75" customHeight="1">
      <c r="J3105" s="4"/>
      <c r="K3105" s="4"/>
    </row>
    <row r="3106" spans="10:11" ht="15.75" customHeight="1">
      <c r="J3106" s="4"/>
      <c r="K3106" s="4"/>
    </row>
    <row r="3107" spans="10:11" ht="15.75" customHeight="1">
      <c r="J3107" s="4"/>
      <c r="K3107" s="4"/>
    </row>
    <row r="3108" spans="10:11" ht="15.75" customHeight="1">
      <c r="J3108" s="4"/>
      <c r="K3108" s="4"/>
    </row>
    <row r="3109" spans="10:11" ht="15.75" customHeight="1">
      <c r="J3109" s="4"/>
      <c r="K3109" s="4"/>
    </row>
    <row r="3110" spans="10:11" ht="15.75" customHeight="1">
      <c r="J3110" s="4"/>
      <c r="K3110" s="4"/>
    </row>
    <row r="3111" spans="10:11" ht="15.75" customHeight="1">
      <c r="J3111" s="4"/>
      <c r="K3111" s="4"/>
    </row>
    <row r="3112" spans="10:11" ht="15.75" customHeight="1">
      <c r="J3112" s="4"/>
      <c r="K3112" s="4"/>
    </row>
    <row r="3113" spans="10:11" ht="15.75" customHeight="1">
      <c r="J3113" s="4"/>
      <c r="K3113" s="4"/>
    </row>
    <row r="3114" spans="10:11" ht="15.75" customHeight="1">
      <c r="J3114" s="4"/>
      <c r="K3114" s="4"/>
    </row>
    <row r="3115" spans="10:11" ht="15.75" customHeight="1">
      <c r="J3115" s="4"/>
      <c r="K3115" s="4"/>
    </row>
    <row r="3116" spans="10:11" ht="15.75" customHeight="1">
      <c r="J3116" s="4"/>
      <c r="K3116" s="4"/>
    </row>
    <row r="3117" spans="10:11" ht="15.75" customHeight="1">
      <c r="J3117" s="4"/>
      <c r="K3117" s="4"/>
    </row>
    <row r="3118" spans="10:11" ht="15.75" customHeight="1">
      <c r="J3118" s="4"/>
      <c r="K3118" s="4"/>
    </row>
    <row r="3119" spans="10:11" ht="15.75" customHeight="1">
      <c r="J3119" s="4"/>
      <c r="K3119" s="4"/>
    </row>
    <row r="3120" spans="10:11" ht="15.75" customHeight="1">
      <c r="J3120" s="4"/>
      <c r="K3120" s="4"/>
    </row>
    <row r="3121" spans="10:11" ht="15.75" customHeight="1">
      <c r="J3121" s="4"/>
      <c r="K3121" s="4"/>
    </row>
    <row r="3122" spans="10:11" ht="15.75" customHeight="1">
      <c r="J3122" s="4"/>
      <c r="K3122" s="4"/>
    </row>
    <row r="3123" spans="10:11" ht="15.75" customHeight="1">
      <c r="J3123" s="4"/>
      <c r="K3123" s="4"/>
    </row>
    <row r="3124" spans="10:11" ht="15.75" customHeight="1">
      <c r="J3124" s="4"/>
      <c r="K3124" s="4"/>
    </row>
    <row r="3125" spans="10:11" ht="15.75" customHeight="1">
      <c r="J3125" s="4"/>
      <c r="K3125" s="4"/>
    </row>
    <row r="3126" spans="10:11" ht="15.75" customHeight="1">
      <c r="J3126" s="4"/>
      <c r="K3126" s="4"/>
    </row>
    <row r="3127" spans="10:11" ht="15.75" customHeight="1">
      <c r="J3127" s="4"/>
      <c r="K3127" s="4"/>
    </row>
    <row r="3128" spans="10:11" ht="15.75" customHeight="1">
      <c r="J3128" s="4"/>
      <c r="K3128" s="4"/>
    </row>
    <row r="3129" spans="10:11" ht="15.75" customHeight="1">
      <c r="J3129" s="4"/>
      <c r="K3129" s="4"/>
    </row>
    <row r="3130" spans="10:11" ht="15.75" customHeight="1">
      <c r="J3130" s="4"/>
      <c r="K3130" s="4"/>
    </row>
    <row r="3131" spans="10:11" ht="15.75" customHeight="1">
      <c r="J3131" s="4"/>
      <c r="K3131" s="4"/>
    </row>
    <row r="3132" spans="10:11" ht="15.75" customHeight="1">
      <c r="J3132" s="4"/>
      <c r="K3132" s="4"/>
    </row>
    <row r="3133" spans="10:11" ht="15.75" customHeight="1">
      <c r="J3133" s="4"/>
      <c r="K3133" s="4"/>
    </row>
    <row r="3134" spans="10:11" ht="15.75" customHeight="1">
      <c r="J3134" s="4"/>
      <c r="K3134" s="4"/>
    </row>
    <row r="3135" spans="10:11" ht="15.75" customHeight="1">
      <c r="J3135" s="4"/>
      <c r="K3135" s="4"/>
    </row>
    <row r="3136" spans="10:11" ht="15.75" customHeight="1">
      <c r="J3136" s="4"/>
      <c r="K3136" s="4"/>
    </row>
    <row r="3137" spans="10:11" ht="15.75" customHeight="1">
      <c r="J3137" s="4"/>
      <c r="K3137" s="4"/>
    </row>
    <row r="3138" spans="10:11" ht="15.75" customHeight="1">
      <c r="J3138" s="4"/>
      <c r="K3138" s="4"/>
    </row>
    <row r="3139" spans="10:11" ht="15.75" customHeight="1">
      <c r="J3139" s="4"/>
      <c r="K3139" s="4"/>
    </row>
    <row r="3140" spans="10:11" ht="15.75" customHeight="1">
      <c r="J3140" s="4"/>
      <c r="K3140" s="4"/>
    </row>
    <row r="3141" spans="10:11" ht="15.75" customHeight="1">
      <c r="J3141" s="4"/>
      <c r="K3141" s="4"/>
    </row>
    <row r="3142" spans="10:11" ht="15.75" customHeight="1">
      <c r="J3142" s="4"/>
      <c r="K3142" s="4"/>
    </row>
    <row r="3143" spans="10:11" ht="15.75" customHeight="1">
      <c r="J3143" s="4"/>
      <c r="K3143" s="4"/>
    </row>
    <row r="3144" spans="10:11" ht="15.75" customHeight="1">
      <c r="J3144" s="4"/>
      <c r="K3144" s="4"/>
    </row>
    <row r="3145" spans="10:11" ht="15.75" customHeight="1">
      <c r="J3145" s="4"/>
      <c r="K3145" s="4"/>
    </row>
    <row r="3146" spans="10:11" ht="15.75" customHeight="1">
      <c r="J3146" s="4"/>
      <c r="K3146" s="4"/>
    </row>
    <row r="3147" spans="10:11" ht="15.75" customHeight="1">
      <c r="J3147" s="4"/>
      <c r="K3147" s="4"/>
    </row>
    <row r="3148" spans="10:11" ht="15.75" customHeight="1">
      <c r="J3148" s="4"/>
      <c r="K3148" s="4"/>
    </row>
    <row r="3149" spans="10:11" ht="15.75" customHeight="1">
      <c r="J3149" s="4"/>
      <c r="K3149" s="4"/>
    </row>
    <row r="3150" spans="10:11" ht="15.75" customHeight="1">
      <c r="J3150" s="4"/>
      <c r="K3150" s="4"/>
    </row>
    <row r="3151" spans="10:11" ht="15.75" customHeight="1">
      <c r="J3151" s="4"/>
      <c r="K3151" s="4"/>
    </row>
    <row r="3152" spans="10:11" ht="15.75" customHeight="1">
      <c r="J3152" s="4"/>
      <c r="K3152" s="4"/>
    </row>
    <row r="3153" spans="10:11" ht="15.75" customHeight="1">
      <c r="J3153" s="4"/>
      <c r="K3153" s="4"/>
    </row>
    <row r="3154" spans="10:11" ht="15.75" customHeight="1">
      <c r="J3154" s="4"/>
      <c r="K3154" s="4"/>
    </row>
    <row r="3155" spans="10:11" ht="15.75" customHeight="1">
      <c r="J3155" s="4"/>
      <c r="K3155" s="4"/>
    </row>
    <row r="3156" spans="10:11" ht="15.75" customHeight="1">
      <c r="J3156" s="4"/>
      <c r="K3156" s="4"/>
    </row>
    <row r="3157" spans="10:11" ht="15.75" customHeight="1">
      <c r="J3157" s="4"/>
      <c r="K3157" s="4"/>
    </row>
    <row r="3158" spans="10:11" ht="15.75" customHeight="1">
      <c r="J3158" s="4"/>
      <c r="K3158" s="4"/>
    </row>
    <row r="3159" spans="10:11" ht="15.75" customHeight="1">
      <c r="J3159" s="4"/>
      <c r="K3159" s="4"/>
    </row>
    <row r="3160" spans="10:11" ht="15.75" customHeight="1">
      <c r="J3160" s="4"/>
      <c r="K3160" s="4"/>
    </row>
    <row r="3161" spans="10:11" ht="15.75" customHeight="1">
      <c r="J3161" s="4"/>
      <c r="K3161" s="4"/>
    </row>
    <row r="3162" spans="10:11" ht="15.75" customHeight="1">
      <c r="J3162" s="4"/>
      <c r="K3162" s="4"/>
    </row>
    <row r="3163" spans="10:11" ht="15.75" customHeight="1">
      <c r="J3163" s="4"/>
      <c r="K3163" s="4"/>
    </row>
    <row r="3164" spans="10:11" ht="15.75" customHeight="1">
      <c r="J3164" s="4"/>
      <c r="K3164" s="4"/>
    </row>
    <row r="3165" spans="10:11" ht="15.75" customHeight="1">
      <c r="J3165" s="4"/>
      <c r="K3165" s="4"/>
    </row>
    <row r="3166" spans="10:11" ht="15.75" customHeight="1">
      <c r="J3166" s="4"/>
      <c r="K3166" s="4"/>
    </row>
    <row r="3167" spans="10:11" ht="15.75" customHeight="1">
      <c r="J3167" s="4"/>
      <c r="K3167" s="4"/>
    </row>
    <row r="3168" spans="10:11" ht="15.75" customHeight="1">
      <c r="J3168" s="4"/>
      <c r="K3168" s="4"/>
    </row>
    <row r="3169" spans="10:11" ht="15.75" customHeight="1">
      <c r="J3169" s="4"/>
      <c r="K3169" s="4"/>
    </row>
    <row r="3170" spans="10:11" ht="15.75" customHeight="1">
      <c r="J3170" s="4"/>
      <c r="K3170" s="4"/>
    </row>
    <row r="3171" spans="10:11" ht="15.75" customHeight="1">
      <c r="J3171" s="4"/>
      <c r="K3171" s="4"/>
    </row>
    <row r="3172" spans="10:11" ht="15.75" customHeight="1">
      <c r="J3172" s="4"/>
      <c r="K3172" s="4"/>
    </row>
    <row r="3173" spans="10:11" ht="15.75" customHeight="1">
      <c r="J3173" s="4"/>
      <c r="K3173" s="4"/>
    </row>
    <row r="3174" spans="10:11" ht="15.75" customHeight="1">
      <c r="J3174" s="4"/>
      <c r="K3174" s="4"/>
    </row>
    <row r="3175" spans="10:11" ht="15.75" customHeight="1">
      <c r="J3175" s="4"/>
      <c r="K3175" s="4"/>
    </row>
    <row r="3176" spans="10:11" ht="15.75" customHeight="1">
      <c r="J3176" s="4"/>
      <c r="K3176" s="4"/>
    </row>
    <row r="3177" spans="10:11" ht="15.75" customHeight="1">
      <c r="J3177" s="4"/>
      <c r="K3177" s="4"/>
    </row>
    <row r="3178" spans="10:11" ht="15.75" customHeight="1">
      <c r="J3178" s="4"/>
      <c r="K3178" s="4"/>
    </row>
    <row r="3179" spans="10:11" ht="15.75" customHeight="1">
      <c r="J3179" s="4"/>
      <c r="K3179" s="4"/>
    </row>
    <row r="3180" spans="10:11" ht="15.75" customHeight="1">
      <c r="J3180" s="4"/>
      <c r="K3180" s="4"/>
    </row>
    <row r="3181" spans="10:11" ht="15.75" customHeight="1">
      <c r="J3181" s="4"/>
      <c r="K3181" s="4"/>
    </row>
    <row r="3182" spans="10:11" ht="15.75" customHeight="1">
      <c r="J3182" s="4"/>
      <c r="K3182" s="4"/>
    </row>
    <row r="3183" spans="10:11" ht="15.75" customHeight="1">
      <c r="J3183" s="4"/>
      <c r="K3183" s="4"/>
    </row>
    <row r="3184" spans="10:11" ht="15.75" customHeight="1">
      <c r="J3184" s="4"/>
      <c r="K3184" s="4"/>
    </row>
    <row r="3185" spans="10:11" ht="15.75" customHeight="1">
      <c r="J3185" s="4"/>
      <c r="K3185" s="4"/>
    </row>
    <row r="3186" spans="10:11" ht="15.75" customHeight="1">
      <c r="J3186" s="4"/>
      <c r="K3186" s="4"/>
    </row>
    <row r="3187" spans="10:11" ht="15.75" customHeight="1">
      <c r="J3187" s="4"/>
      <c r="K3187" s="4"/>
    </row>
    <row r="3188" spans="10:11" ht="15.75" customHeight="1">
      <c r="J3188" s="4"/>
      <c r="K3188" s="4"/>
    </row>
    <row r="3189" spans="10:11" ht="15.75" customHeight="1">
      <c r="J3189" s="4"/>
      <c r="K3189" s="4"/>
    </row>
    <row r="3190" spans="10:11" ht="15.75" customHeight="1">
      <c r="J3190" s="4"/>
      <c r="K3190" s="4"/>
    </row>
    <row r="3191" spans="10:11" ht="15.75" customHeight="1">
      <c r="J3191" s="4"/>
      <c r="K3191" s="4"/>
    </row>
    <row r="3192" spans="10:11" ht="15.75" customHeight="1">
      <c r="J3192" s="4"/>
      <c r="K3192" s="4"/>
    </row>
    <row r="3193" spans="10:11" ht="15.75" customHeight="1">
      <c r="J3193" s="4"/>
      <c r="K3193" s="4"/>
    </row>
    <row r="3194" spans="10:11" ht="15.75" customHeight="1">
      <c r="J3194" s="4"/>
      <c r="K3194" s="4"/>
    </row>
    <row r="3195" spans="10:11" ht="15.75" customHeight="1">
      <c r="J3195" s="4"/>
      <c r="K3195" s="4"/>
    </row>
    <row r="3196" spans="10:11" ht="15.75" customHeight="1">
      <c r="J3196" s="4"/>
      <c r="K3196" s="4"/>
    </row>
    <row r="3197" spans="10:11" ht="15.75" customHeight="1">
      <c r="J3197" s="4"/>
      <c r="K3197" s="4"/>
    </row>
    <row r="3198" spans="10:11" ht="15.75" customHeight="1">
      <c r="J3198" s="4"/>
      <c r="K3198" s="4"/>
    </row>
    <row r="3199" spans="10:11" ht="15.75" customHeight="1">
      <c r="J3199" s="4"/>
      <c r="K3199" s="4"/>
    </row>
    <row r="3200" spans="10:11" ht="15.75" customHeight="1">
      <c r="J3200" s="4"/>
      <c r="K3200" s="4"/>
    </row>
    <row r="3201" spans="10:11" ht="15.75" customHeight="1">
      <c r="J3201" s="4"/>
      <c r="K3201" s="4"/>
    </row>
    <row r="3202" spans="10:11" ht="15.75" customHeight="1">
      <c r="J3202" s="4"/>
      <c r="K3202" s="4"/>
    </row>
    <row r="3203" spans="10:11" ht="15.75" customHeight="1">
      <c r="J3203" s="4"/>
      <c r="K3203" s="4"/>
    </row>
    <row r="3204" spans="10:11" ht="15.75" customHeight="1">
      <c r="J3204" s="4"/>
      <c r="K3204" s="4"/>
    </row>
    <row r="3205" spans="10:11" ht="15.75" customHeight="1">
      <c r="J3205" s="4"/>
      <c r="K3205" s="4"/>
    </row>
    <row r="3206" spans="10:11" ht="15.75" customHeight="1">
      <c r="J3206" s="4"/>
      <c r="K3206" s="4"/>
    </row>
    <row r="3207" spans="10:11" ht="15.75" customHeight="1">
      <c r="J3207" s="4"/>
      <c r="K3207" s="4"/>
    </row>
    <row r="3208" spans="10:11" ht="15.75" customHeight="1">
      <c r="J3208" s="4"/>
      <c r="K3208" s="4"/>
    </row>
    <row r="3209" spans="10:11" ht="15.75" customHeight="1">
      <c r="J3209" s="4"/>
      <c r="K3209" s="4"/>
    </row>
    <row r="3210" spans="10:11" ht="15.75" customHeight="1">
      <c r="J3210" s="4"/>
      <c r="K3210" s="4"/>
    </row>
    <row r="3211" spans="10:11" ht="15.75" customHeight="1">
      <c r="J3211" s="4"/>
      <c r="K3211" s="4"/>
    </row>
    <row r="3212" spans="10:11" ht="15.75" customHeight="1">
      <c r="J3212" s="4"/>
      <c r="K3212" s="4"/>
    </row>
    <row r="3213" spans="10:11" ht="15.75" customHeight="1">
      <c r="J3213" s="4"/>
      <c r="K3213" s="4"/>
    </row>
    <row r="3214" spans="10:11" ht="15.75" customHeight="1">
      <c r="J3214" s="4"/>
      <c r="K3214" s="4"/>
    </row>
    <row r="3215" spans="10:11" ht="15.75" customHeight="1">
      <c r="J3215" s="4"/>
      <c r="K3215" s="4"/>
    </row>
    <row r="3216" spans="10:11" ht="15.75" customHeight="1">
      <c r="J3216" s="4"/>
      <c r="K3216" s="4"/>
    </row>
    <row r="3217" spans="10:11" ht="15.75" customHeight="1">
      <c r="J3217" s="4"/>
      <c r="K3217" s="4"/>
    </row>
    <row r="3218" spans="10:11" ht="15.75" customHeight="1">
      <c r="J3218" s="4"/>
      <c r="K3218" s="4"/>
    </row>
    <row r="3219" spans="10:11" ht="15.75" customHeight="1">
      <c r="J3219" s="4"/>
      <c r="K3219" s="4"/>
    </row>
    <row r="3220" spans="10:11" ht="15.75" customHeight="1">
      <c r="J3220" s="4"/>
      <c r="K3220" s="4"/>
    </row>
    <row r="3221" spans="10:11" ht="15.75" customHeight="1">
      <c r="J3221" s="4"/>
      <c r="K3221" s="4"/>
    </row>
    <row r="3222" spans="10:11" ht="15.75" customHeight="1">
      <c r="J3222" s="4"/>
      <c r="K3222" s="4"/>
    </row>
    <row r="3223" spans="10:11" ht="15.75" customHeight="1">
      <c r="J3223" s="4"/>
      <c r="K3223" s="4"/>
    </row>
    <row r="3224" spans="10:11" ht="15.75" customHeight="1">
      <c r="J3224" s="4"/>
      <c r="K3224" s="4"/>
    </row>
    <row r="3225" spans="10:11" ht="15.75" customHeight="1">
      <c r="J3225" s="4"/>
      <c r="K3225" s="4"/>
    </row>
    <row r="3226" spans="10:11" ht="15.75" customHeight="1">
      <c r="J3226" s="4"/>
      <c r="K3226" s="4"/>
    </row>
    <row r="3227" spans="10:11" ht="15.75" customHeight="1">
      <c r="J3227" s="4"/>
      <c r="K3227" s="4"/>
    </row>
    <row r="3228" spans="10:11" ht="15.75" customHeight="1">
      <c r="J3228" s="4"/>
      <c r="K3228" s="4"/>
    </row>
    <row r="3229" spans="10:11" ht="15.75" customHeight="1">
      <c r="J3229" s="4"/>
      <c r="K3229" s="4"/>
    </row>
    <row r="3230" spans="10:11" ht="15.75" customHeight="1">
      <c r="J3230" s="4"/>
      <c r="K3230" s="4"/>
    </row>
    <row r="3231" spans="10:11" ht="15.75" customHeight="1">
      <c r="J3231" s="4"/>
      <c r="K3231" s="4"/>
    </row>
    <row r="3232" spans="10:11" ht="15.75" customHeight="1">
      <c r="J3232" s="4"/>
      <c r="K3232" s="4"/>
    </row>
    <row r="3233" spans="10:11" ht="15.75" customHeight="1">
      <c r="J3233" s="4"/>
      <c r="K3233" s="4"/>
    </row>
    <row r="3234" spans="10:11" ht="15.75" customHeight="1">
      <c r="J3234" s="4"/>
      <c r="K3234" s="4"/>
    </row>
    <row r="3235" spans="10:11" ht="15.75" customHeight="1">
      <c r="J3235" s="4"/>
      <c r="K3235" s="4"/>
    </row>
    <row r="3236" spans="10:11" ht="15.75" customHeight="1">
      <c r="J3236" s="4"/>
      <c r="K3236" s="4"/>
    </row>
    <row r="3237" spans="10:11" ht="15.75" customHeight="1">
      <c r="J3237" s="4"/>
      <c r="K3237" s="4"/>
    </row>
    <row r="3238" spans="10:11" ht="15.75" customHeight="1">
      <c r="J3238" s="4"/>
      <c r="K3238" s="4"/>
    </row>
    <row r="3239" spans="10:11" ht="15.75" customHeight="1">
      <c r="J3239" s="4"/>
      <c r="K3239" s="4"/>
    </row>
    <row r="3240" spans="10:11" ht="15.75" customHeight="1">
      <c r="J3240" s="4"/>
      <c r="K3240" s="4"/>
    </row>
    <row r="3241" spans="10:11" ht="15.75" customHeight="1">
      <c r="J3241" s="4"/>
      <c r="K3241" s="4"/>
    </row>
    <row r="3242" spans="10:11" ht="15.75" customHeight="1">
      <c r="J3242" s="4"/>
      <c r="K3242" s="4"/>
    </row>
    <row r="3243" spans="10:11" ht="15.75" customHeight="1">
      <c r="J3243" s="4"/>
      <c r="K3243" s="4"/>
    </row>
    <row r="3244" spans="10:11" ht="15.75" customHeight="1">
      <c r="J3244" s="4"/>
      <c r="K3244" s="4"/>
    </row>
    <row r="3245" spans="10:11" ht="15.75" customHeight="1">
      <c r="J3245" s="4"/>
      <c r="K3245" s="4"/>
    </row>
    <row r="3246" spans="10:11" ht="15.75" customHeight="1">
      <c r="J3246" s="4"/>
      <c r="K3246" s="4"/>
    </row>
    <row r="3247" spans="10:11" ht="15.75" customHeight="1">
      <c r="J3247" s="4"/>
      <c r="K3247" s="4"/>
    </row>
    <row r="3248" spans="10:11" ht="15.75" customHeight="1">
      <c r="J3248" s="4"/>
      <c r="K3248" s="4"/>
    </row>
    <row r="3249" spans="10:11" ht="15.75" customHeight="1">
      <c r="J3249" s="4"/>
      <c r="K3249" s="4"/>
    </row>
    <row r="3250" spans="10:11" ht="15.75" customHeight="1">
      <c r="J3250" s="4"/>
      <c r="K3250" s="4"/>
    </row>
    <row r="3251" spans="10:11" ht="15.75" customHeight="1">
      <c r="J3251" s="4"/>
      <c r="K3251" s="4"/>
    </row>
    <row r="3252" spans="10:11" ht="15.75" customHeight="1">
      <c r="J3252" s="4"/>
      <c r="K3252" s="4"/>
    </row>
    <row r="3253" spans="10:11" ht="15.75" customHeight="1">
      <c r="J3253" s="4"/>
      <c r="K3253" s="4"/>
    </row>
    <row r="3254" spans="10:11" ht="15.75" customHeight="1">
      <c r="J3254" s="4"/>
      <c r="K3254" s="4"/>
    </row>
    <row r="3255" spans="10:11" ht="15.75" customHeight="1">
      <c r="J3255" s="4"/>
      <c r="K3255" s="4"/>
    </row>
    <row r="3256" spans="10:11" ht="15.75" customHeight="1">
      <c r="J3256" s="4"/>
      <c r="K3256" s="4"/>
    </row>
    <row r="3257" spans="10:11" ht="15.75" customHeight="1">
      <c r="J3257" s="4"/>
      <c r="K3257" s="4"/>
    </row>
    <row r="3258" spans="10:11" ht="15.75" customHeight="1">
      <c r="J3258" s="4"/>
      <c r="K3258" s="4"/>
    </row>
    <row r="3259" spans="10:11" ht="15.75" customHeight="1">
      <c r="J3259" s="4"/>
      <c r="K3259" s="4"/>
    </row>
    <row r="3260" spans="10:11" ht="15.75" customHeight="1">
      <c r="J3260" s="4"/>
      <c r="K3260" s="4"/>
    </row>
    <row r="3261" spans="10:11" ht="15.75" customHeight="1">
      <c r="J3261" s="4"/>
      <c r="K3261" s="4"/>
    </row>
    <row r="3262" spans="10:11" ht="15.75" customHeight="1">
      <c r="J3262" s="4"/>
      <c r="K3262" s="4"/>
    </row>
    <row r="3263" spans="10:11" ht="15.75" customHeight="1">
      <c r="J3263" s="4"/>
      <c r="K3263" s="4"/>
    </row>
    <row r="3264" spans="10:11" ht="15.75" customHeight="1">
      <c r="J3264" s="4"/>
      <c r="K3264" s="4"/>
    </row>
    <row r="3265" spans="10:11" ht="15.75" customHeight="1">
      <c r="J3265" s="4"/>
      <c r="K3265" s="4"/>
    </row>
    <row r="3266" spans="10:11" ht="15.75" customHeight="1">
      <c r="J3266" s="4"/>
      <c r="K3266" s="4"/>
    </row>
    <row r="3267" spans="10:11" ht="15.75" customHeight="1">
      <c r="J3267" s="4"/>
      <c r="K3267" s="4"/>
    </row>
    <row r="3268" spans="10:11" ht="15.75" customHeight="1">
      <c r="J3268" s="4"/>
      <c r="K3268" s="4"/>
    </row>
    <row r="3269" spans="10:11" ht="15.75" customHeight="1">
      <c r="J3269" s="4"/>
      <c r="K3269" s="4"/>
    </row>
    <row r="3270" spans="10:11" ht="15.75" customHeight="1">
      <c r="J3270" s="4"/>
      <c r="K3270" s="4"/>
    </row>
    <row r="3271" spans="10:11" ht="15.75" customHeight="1">
      <c r="J3271" s="4"/>
      <c r="K3271" s="4"/>
    </row>
    <row r="3272" spans="10:11" ht="15.75" customHeight="1">
      <c r="J3272" s="4"/>
      <c r="K3272" s="4"/>
    </row>
    <row r="3273" spans="10:11" ht="15.75" customHeight="1">
      <c r="J3273" s="4"/>
      <c r="K3273" s="4"/>
    </row>
    <row r="3274" spans="10:11" ht="15.75" customHeight="1">
      <c r="J3274" s="4"/>
      <c r="K3274" s="4"/>
    </row>
    <row r="3275" spans="10:11" ht="15.75" customHeight="1">
      <c r="J3275" s="4"/>
      <c r="K3275" s="4"/>
    </row>
    <row r="3276" spans="10:11" ht="15.75" customHeight="1">
      <c r="J3276" s="4"/>
      <c r="K3276" s="4"/>
    </row>
    <row r="3277" spans="10:11" ht="15.75" customHeight="1">
      <c r="J3277" s="4"/>
      <c r="K3277" s="4"/>
    </row>
    <row r="3278" spans="10:11" ht="15.75" customHeight="1">
      <c r="J3278" s="4"/>
      <c r="K3278" s="4"/>
    </row>
    <row r="3279" spans="10:11" ht="15.75" customHeight="1">
      <c r="J3279" s="4"/>
      <c r="K3279" s="4"/>
    </row>
    <row r="3280" spans="10:11" ht="15.75" customHeight="1">
      <c r="J3280" s="4"/>
      <c r="K3280" s="4"/>
    </row>
    <row r="3281" spans="10:11" ht="15.75" customHeight="1">
      <c r="J3281" s="4"/>
      <c r="K3281" s="4"/>
    </row>
    <row r="3282" spans="10:11" ht="15.75" customHeight="1">
      <c r="J3282" s="4"/>
      <c r="K3282" s="4"/>
    </row>
    <row r="3283" spans="10:11" ht="15.75" customHeight="1">
      <c r="J3283" s="4"/>
      <c r="K3283" s="4"/>
    </row>
    <row r="3284" spans="10:11" ht="15.75" customHeight="1">
      <c r="J3284" s="4"/>
      <c r="K3284" s="4"/>
    </row>
    <row r="3285" spans="10:11" ht="15.75" customHeight="1">
      <c r="J3285" s="4"/>
      <c r="K3285" s="4"/>
    </row>
    <row r="3286" spans="10:11" ht="15.75" customHeight="1">
      <c r="J3286" s="4"/>
      <c r="K3286" s="4"/>
    </row>
    <row r="3287" spans="10:11" ht="15.75" customHeight="1">
      <c r="J3287" s="4"/>
      <c r="K3287" s="4"/>
    </row>
    <row r="3288" spans="10:11" ht="15.75" customHeight="1">
      <c r="J3288" s="4"/>
      <c r="K3288" s="4"/>
    </row>
    <row r="3289" spans="10:11" ht="15.75" customHeight="1">
      <c r="J3289" s="4"/>
      <c r="K3289" s="4"/>
    </row>
    <row r="3290" spans="10:11" ht="15.75" customHeight="1">
      <c r="J3290" s="4"/>
      <c r="K3290" s="4"/>
    </row>
    <row r="3291" spans="10:11" ht="15.75" customHeight="1">
      <c r="J3291" s="4"/>
      <c r="K3291" s="4"/>
    </row>
    <row r="3292" spans="10:11" ht="15.75" customHeight="1">
      <c r="J3292" s="4"/>
      <c r="K3292" s="4"/>
    </row>
    <row r="3293" spans="10:11" ht="15.75" customHeight="1">
      <c r="J3293" s="4"/>
      <c r="K3293" s="4"/>
    </row>
    <row r="3294" spans="10:11" ht="15.75" customHeight="1">
      <c r="J3294" s="4"/>
      <c r="K3294" s="4"/>
    </row>
    <row r="3295" spans="10:11" ht="15.75" customHeight="1">
      <c r="J3295" s="4"/>
      <c r="K3295" s="4"/>
    </row>
    <row r="3296" spans="10:11" ht="15.75" customHeight="1">
      <c r="J3296" s="4"/>
      <c r="K3296" s="4"/>
    </row>
    <row r="3297" spans="10:11" ht="15.75" customHeight="1">
      <c r="J3297" s="4"/>
      <c r="K3297" s="4"/>
    </row>
    <row r="3298" spans="10:11" ht="15.75" customHeight="1">
      <c r="J3298" s="4"/>
      <c r="K3298" s="4"/>
    </row>
    <row r="3299" spans="10:11" ht="15.75" customHeight="1">
      <c r="J3299" s="4"/>
      <c r="K3299" s="4"/>
    </row>
    <row r="3300" spans="10:11" ht="15.75" customHeight="1">
      <c r="J3300" s="4"/>
      <c r="K3300" s="4"/>
    </row>
    <row r="3301" spans="10:11" ht="15.75" customHeight="1">
      <c r="J3301" s="4"/>
      <c r="K3301" s="4"/>
    </row>
    <row r="3302" spans="10:11" ht="15.75" customHeight="1">
      <c r="J3302" s="4"/>
      <c r="K3302" s="4"/>
    </row>
    <row r="3303" spans="10:11" ht="15.75" customHeight="1">
      <c r="J3303" s="4"/>
      <c r="K3303" s="4"/>
    </row>
    <row r="3304" spans="10:11" ht="15.75" customHeight="1">
      <c r="J3304" s="4"/>
      <c r="K3304" s="4"/>
    </row>
    <row r="3305" spans="10:11" ht="15.75" customHeight="1">
      <c r="J3305" s="4"/>
      <c r="K3305" s="4"/>
    </row>
    <row r="3306" spans="10:11" ht="15.75" customHeight="1">
      <c r="J3306" s="4"/>
      <c r="K3306" s="4"/>
    </row>
    <row r="3307" spans="10:11" ht="15.75" customHeight="1">
      <c r="J3307" s="4"/>
      <c r="K3307" s="4"/>
    </row>
    <row r="3308" spans="10:11" ht="15.75" customHeight="1">
      <c r="J3308" s="4"/>
      <c r="K3308" s="4"/>
    </row>
    <row r="3309" spans="10:11" ht="15.75" customHeight="1">
      <c r="J3309" s="4"/>
      <c r="K3309" s="4"/>
    </row>
    <row r="3310" spans="10:11" ht="15.75" customHeight="1">
      <c r="J3310" s="4"/>
      <c r="K3310" s="4"/>
    </row>
    <row r="3311" spans="10:11" ht="15.75" customHeight="1">
      <c r="J3311" s="4"/>
      <c r="K3311" s="4"/>
    </row>
    <row r="3312" spans="10:11" ht="15.75" customHeight="1">
      <c r="J3312" s="4"/>
      <c r="K3312" s="4"/>
    </row>
    <row r="3313" spans="10:11" ht="15.75" customHeight="1">
      <c r="J3313" s="4"/>
      <c r="K3313" s="4"/>
    </row>
    <row r="3314" spans="10:11" ht="15.75" customHeight="1">
      <c r="J3314" s="4"/>
      <c r="K3314" s="4"/>
    </row>
    <row r="3315" spans="10:11" ht="15.75" customHeight="1">
      <c r="J3315" s="4"/>
      <c r="K3315" s="4"/>
    </row>
    <row r="3316" spans="10:11" ht="15.75" customHeight="1">
      <c r="J3316" s="4"/>
      <c r="K3316" s="4"/>
    </row>
    <row r="3317" spans="10:11" ht="15.75" customHeight="1">
      <c r="J3317" s="4"/>
      <c r="K3317" s="4"/>
    </row>
    <row r="3318" spans="10:11" ht="15.75" customHeight="1">
      <c r="J3318" s="4"/>
      <c r="K3318" s="4"/>
    </row>
    <row r="3319" spans="10:11" ht="15.75" customHeight="1">
      <c r="J3319" s="4"/>
      <c r="K3319" s="4"/>
    </row>
    <row r="3320" spans="10:11" ht="15.75" customHeight="1">
      <c r="J3320" s="4"/>
      <c r="K3320" s="4"/>
    </row>
    <row r="3321" spans="10:11" ht="15.75" customHeight="1">
      <c r="J3321" s="4"/>
      <c r="K3321" s="4"/>
    </row>
    <row r="3322" spans="10:11" ht="15.75" customHeight="1">
      <c r="J3322" s="4"/>
      <c r="K3322" s="4"/>
    </row>
    <row r="3323" spans="10:11" ht="15.75" customHeight="1">
      <c r="J3323" s="4"/>
      <c r="K3323" s="4"/>
    </row>
    <row r="3324" spans="10:11" ht="15.75" customHeight="1">
      <c r="J3324" s="4"/>
      <c r="K3324" s="4"/>
    </row>
    <row r="3325" spans="10:11" ht="15.75" customHeight="1">
      <c r="J3325" s="4"/>
      <c r="K3325" s="4"/>
    </row>
    <row r="3326" spans="10:11" ht="15.75" customHeight="1">
      <c r="J3326" s="4"/>
      <c r="K3326" s="4"/>
    </row>
    <row r="3327" spans="10:11" ht="15.75" customHeight="1">
      <c r="J3327" s="4"/>
      <c r="K3327" s="4"/>
    </row>
    <row r="3328" spans="10:11" ht="15.75" customHeight="1">
      <c r="J3328" s="4"/>
      <c r="K3328" s="4"/>
    </row>
    <row r="3329" spans="10:11" ht="15.75" customHeight="1">
      <c r="J3329" s="4"/>
      <c r="K3329" s="4"/>
    </row>
    <row r="3330" spans="10:11" ht="15.75" customHeight="1">
      <c r="J3330" s="4"/>
      <c r="K3330" s="4"/>
    </row>
    <row r="3331" spans="10:11" ht="15.75" customHeight="1">
      <c r="J3331" s="4"/>
      <c r="K3331" s="4"/>
    </row>
    <row r="3332" spans="10:11" ht="15.75" customHeight="1">
      <c r="J3332" s="4"/>
      <c r="K3332" s="4"/>
    </row>
    <row r="3333" spans="10:11" ht="15.75" customHeight="1">
      <c r="J3333" s="4"/>
      <c r="K3333" s="4"/>
    </row>
    <row r="3334" spans="10:11" ht="15.75" customHeight="1">
      <c r="J3334" s="4"/>
      <c r="K3334" s="4"/>
    </row>
    <row r="3335" spans="10:11" ht="15.75" customHeight="1">
      <c r="J3335" s="4"/>
      <c r="K3335" s="4"/>
    </row>
    <row r="3336" spans="10:11" ht="15.75" customHeight="1">
      <c r="J3336" s="4"/>
      <c r="K3336" s="4"/>
    </row>
    <row r="3337" spans="10:11" ht="15.75" customHeight="1">
      <c r="J3337" s="4"/>
      <c r="K3337" s="4"/>
    </row>
    <row r="3338" spans="10:11" ht="15.75" customHeight="1">
      <c r="J3338" s="4"/>
      <c r="K3338" s="4"/>
    </row>
    <row r="3339" spans="10:11" ht="15.75" customHeight="1">
      <c r="J3339" s="4"/>
      <c r="K3339" s="4"/>
    </row>
    <row r="3340" spans="10:11" ht="15.75" customHeight="1">
      <c r="J3340" s="4"/>
      <c r="K3340" s="4"/>
    </row>
    <row r="3341" spans="10:11" ht="15.75" customHeight="1">
      <c r="J3341" s="4"/>
      <c r="K3341" s="4"/>
    </row>
    <row r="3342" spans="10:11" ht="15.75" customHeight="1">
      <c r="J3342" s="4"/>
      <c r="K3342" s="4"/>
    </row>
    <row r="3343" spans="10:11" ht="15.75" customHeight="1">
      <c r="J3343" s="4"/>
      <c r="K3343" s="4"/>
    </row>
    <row r="3344" spans="10:11" ht="15.75" customHeight="1">
      <c r="J3344" s="4"/>
      <c r="K3344" s="4"/>
    </row>
    <row r="3345" spans="10:11" ht="15.75" customHeight="1">
      <c r="J3345" s="4"/>
      <c r="K3345" s="4"/>
    </row>
    <row r="3346" spans="10:11" ht="15.75" customHeight="1">
      <c r="J3346" s="4"/>
      <c r="K3346" s="4"/>
    </row>
    <row r="3347" spans="10:11" ht="15.75" customHeight="1">
      <c r="J3347" s="4"/>
      <c r="K3347" s="4"/>
    </row>
    <row r="3348" spans="10:11" ht="15.75" customHeight="1">
      <c r="J3348" s="4"/>
      <c r="K3348" s="4"/>
    </row>
    <row r="3349" spans="10:11" ht="15.75" customHeight="1">
      <c r="J3349" s="4"/>
      <c r="K3349" s="4"/>
    </row>
    <row r="3350" spans="10:11" ht="15.75" customHeight="1">
      <c r="J3350" s="4"/>
      <c r="K3350" s="4"/>
    </row>
    <row r="3351" spans="10:11" ht="15.75" customHeight="1">
      <c r="J3351" s="4"/>
      <c r="K3351" s="4"/>
    </row>
    <row r="3352" spans="10:11" ht="15.75" customHeight="1">
      <c r="J3352" s="4"/>
      <c r="K3352" s="4"/>
    </row>
    <row r="3353" spans="10:11" ht="15.75" customHeight="1">
      <c r="J3353" s="4"/>
      <c r="K3353" s="4"/>
    </row>
    <row r="3354" spans="10:11" ht="15.75" customHeight="1">
      <c r="J3354" s="4"/>
      <c r="K3354" s="4"/>
    </row>
    <row r="3355" spans="10:11" ht="15.75" customHeight="1">
      <c r="J3355" s="4"/>
      <c r="K3355" s="4"/>
    </row>
    <row r="3356" spans="10:11" ht="15.75" customHeight="1">
      <c r="J3356" s="4"/>
      <c r="K3356" s="4"/>
    </row>
    <row r="3357" spans="10:11" ht="15.75" customHeight="1">
      <c r="J3357" s="4"/>
      <c r="K3357" s="4"/>
    </row>
    <row r="3358" spans="10:11" ht="15.75" customHeight="1">
      <c r="J3358" s="4"/>
      <c r="K3358" s="4"/>
    </row>
    <row r="3359" spans="10:11" ht="15.75" customHeight="1">
      <c r="J3359" s="4"/>
      <c r="K3359" s="4"/>
    </row>
    <row r="3360" spans="10:11" ht="15.75" customHeight="1">
      <c r="J3360" s="4"/>
      <c r="K3360" s="4"/>
    </row>
    <row r="3361" spans="10:11" ht="15.75" customHeight="1">
      <c r="J3361" s="4"/>
      <c r="K3361" s="4"/>
    </row>
    <row r="3362" spans="10:11" ht="15.75" customHeight="1">
      <c r="J3362" s="4"/>
      <c r="K3362" s="4"/>
    </row>
    <row r="3363" spans="10:11" ht="15.75" customHeight="1">
      <c r="J3363" s="4"/>
      <c r="K3363" s="4"/>
    </row>
    <row r="3364" spans="10:11" ht="15.75" customHeight="1">
      <c r="J3364" s="4"/>
      <c r="K3364" s="4"/>
    </row>
    <row r="3365" spans="10:11" ht="15.75" customHeight="1">
      <c r="J3365" s="4"/>
      <c r="K3365" s="4"/>
    </row>
    <row r="3366" spans="10:11" ht="15.75" customHeight="1">
      <c r="J3366" s="4"/>
      <c r="K3366" s="4"/>
    </row>
    <row r="3367" spans="10:11" ht="15.75" customHeight="1">
      <c r="J3367" s="4"/>
      <c r="K3367" s="4"/>
    </row>
    <row r="3368" spans="10:11" ht="15.75" customHeight="1">
      <c r="J3368" s="4"/>
      <c r="K3368" s="4"/>
    </row>
    <row r="3369" spans="10:11" ht="15.75" customHeight="1">
      <c r="J3369" s="4"/>
      <c r="K3369" s="4"/>
    </row>
    <row r="3370" spans="10:11" ht="15.75" customHeight="1">
      <c r="J3370" s="4"/>
      <c r="K3370" s="4"/>
    </row>
    <row r="3371" spans="10:11" ht="15.75" customHeight="1">
      <c r="J3371" s="4"/>
      <c r="K3371" s="4"/>
    </row>
    <row r="3372" spans="10:11" ht="15.75" customHeight="1">
      <c r="J3372" s="4"/>
      <c r="K3372" s="4"/>
    </row>
    <row r="3373" spans="10:11" ht="15.75" customHeight="1">
      <c r="J3373" s="4"/>
      <c r="K3373" s="4"/>
    </row>
    <row r="3374" spans="10:11" ht="15.75" customHeight="1">
      <c r="J3374" s="4"/>
      <c r="K3374" s="4"/>
    </row>
    <row r="3375" spans="10:11" ht="15.75" customHeight="1">
      <c r="J3375" s="4"/>
      <c r="K3375" s="4"/>
    </row>
    <row r="3376" spans="10:11" ht="15.75" customHeight="1">
      <c r="J3376" s="4"/>
      <c r="K3376" s="4"/>
    </row>
    <row r="3377" spans="10:11" ht="15.75" customHeight="1">
      <c r="J3377" s="4"/>
      <c r="K3377" s="4"/>
    </row>
    <row r="3378" spans="10:11" ht="15.75" customHeight="1">
      <c r="J3378" s="4"/>
      <c r="K3378" s="4"/>
    </row>
    <row r="3379" spans="10:11" ht="15.75" customHeight="1">
      <c r="J3379" s="4"/>
      <c r="K3379" s="4"/>
    </row>
    <row r="3380" spans="10:11" ht="15.75" customHeight="1">
      <c r="J3380" s="4"/>
      <c r="K3380" s="4"/>
    </row>
    <row r="3381" spans="10:11" ht="15.75" customHeight="1">
      <c r="J3381" s="4"/>
      <c r="K3381" s="4"/>
    </row>
    <row r="3382" spans="10:11" ht="15.75" customHeight="1">
      <c r="J3382" s="4"/>
      <c r="K3382" s="4"/>
    </row>
    <row r="3383" spans="10:11" ht="15.75" customHeight="1">
      <c r="J3383" s="4"/>
      <c r="K3383" s="4"/>
    </row>
    <row r="3384" spans="10:11" ht="15.75" customHeight="1">
      <c r="J3384" s="4"/>
      <c r="K3384" s="4"/>
    </row>
    <row r="3385" spans="10:11" ht="15.75" customHeight="1">
      <c r="J3385" s="4"/>
      <c r="K3385" s="4"/>
    </row>
    <row r="3386" spans="10:11" ht="15.75" customHeight="1">
      <c r="J3386" s="4"/>
      <c r="K3386" s="4"/>
    </row>
    <row r="3387" spans="10:11" ht="15.75" customHeight="1">
      <c r="J3387" s="4"/>
      <c r="K3387" s="4"/>
    </row>
    <row r="3388" spans="10:11" ht="15.75" customHeight="1">
      <c r="J3388" s="4"/>
      <c r="K3388" s="4"/>
    </row>
    <row r="3389" spans="10:11" ht="15.75" customHeight="1">
      <c r="J3389" s="4"/>
      <c r="K3389" s="4"/>
    </row>
    <row r="3390" spans="10:11" ht="15.75" customHeight="1">
      <c r="J3390" s="4"/>
      <c r="K3390" s="4"/>
    </row>
    <row r="3391" spans="10:11" ht="15.75" customHeight="1">
      <c r="J3391" s="4"/>
      <c r="K3391" s="4"/>
    </row>
    <row r="3392" spans="10:11" ht="15.75" customHeight="1">
      <c r="J3392" s="4"/>
      <c r="K3392" s="4"/>
    </row>
    <row r="3393" spans="10:11" ht="15.75" customHeight="1">
      <c r="J3393" s="4"/>
      <c r="K3393" s="4"/>
    </row>
    <row r="3394" spans="10:11" ht="15.75" customHeight="1">
      <c r="J3394" s="4"/>
      <c r="K3394" s="4"/>
    </row>
    <row r="3395" spans="10:11" ht="15.75" customHeight="1">
      <c r="J3395" s="4"/>
      <c r="K3395" s="4"/>
    </row>
    <row r="3396" spans="10:11" ht="15.75" customHeight="1">
      <c r="J3396" s="4"/>
      <c r="K3396" s="4"/>
    </row>
    <row r="3397" spans="10:11" ht="15.75" customHeight="1">
      <c r="J3397" s="4"/>
      <c r="K3397" s="4"/>
    </row>
    <row r="3398" spans="10:11" ht="15.75" customHeight="1">
      <c r="J3398" s="4"/>
      <c r="K3398" s="4"/>
    </row>
    <row r="3399" spans="10:11" ht="15.75" customHeight="1">
      <c r="J3399" s="4"/>
      <c r="K3399" s="4"/>
    </row>
    <row r="3400" spans="10:11" ht="15.75" customHeight="1">
      <c r="J3400" s="4"/>
      <c r="K3400" s="4"/>
    </row>
    <row r="3401" spans="10:11" ht="15.75" customHeight="1">
      <c r="J3401" s="4"/>
      <c r="K3401" s="4"/>
    </row>
    <row r="3402" spans="10:11" ht="15.75" customHeight="1">
      <c r="J3402" s="4"/>
      <c r="K3402" s="4"/>
    </row>
    <row r="3403" spans="10:11" ht="15.75" customHeight="1">
      <c r="J3403" s="4"/>
      <c r="K3403" s="4"/>
    </row>
    <row r="3404" spans="10:11" ht="15.75" customHeight="1">
      <c r="J3404" s="4"/>
      <c r="K3404" s="4"/>
    </row>
    <row r="3405" spans="10:11" ht="15.75" customHeight="1">
      <c r="J3405" s="4"/>
      <c r="K3405" s="4"/>
    </row>
    <row r="3406" spans="10:11" ht="15.75" customHeight="1">
      <c r="J3406" s="4"/>
      <c r="K3406" s="4"/>
    </row>
    <row r="3407" spans="10:11" ht="15.75" customHeight="1">
      <c r="J3407" s="4"/>
      <c r="K3407" s="4"/>
    </row>
    <row r="3408" spans="10:11" ht="15.75" customHeight="1">
      <c r="J3408" s="4"/>
      <c r="K3408" s="4"/>
    </row>
    <row r="3409" spans="10:11" ht="15.75" customHeight="1">
      <c r="J3409" s="4"/>
      <c r="K3409" s="4"/>
    </row>
    <row r="3410" spans="10:11" ht="15.75" customHeight="1">
      <c r="J3410" s="4"/>
      <c r="K3410" s="4"/>
    </row>
    <row r="3411" spans="10:11" ht="15.75" customHeight="1">
      <c r="J3411" s="4"/>
      <c r="K3411" s="4"/>
    </row>
    <row r="3412" spans="10:11" ht="15.75" customHeight="1">
      <c r="J3412" s="4"/>
      <c r="K3412" s="4"/>
    </row>
    <row r="3413" spans="10:11" ht="15.75" customHeight="1">
      <c r="J3413" s="4"/>
      <c r="K3413" s="4"/>
    </row>
    <row r="3414" spans="10:11" ht="15.75" customHeight="1">
      <c r="J3414" s="4"/>
      <c r="K3414" s="4"/>
    </row>
    <row r="3415" spans="10:11" ht="15.75" customHeight="1">
      <c r="J3415" s="4"/>
      <c r="K3415" s="4"/>
    </row>
    <row r="3416" spans="10:11" ht="15.75" customHeight="1">
      <c r="J3416" s="4"/>
      <c r="K3416" s="4"/>
    </row>
    <row r="3417" spans="10:11" ht="15.75" customHeight="1">
      <c r="J3417" s="4"/>
      <c r="K3417" s="4"/>
    </row>
    <row r="3418" spans="10:11" ht="15.75" customHeight="1">
      <c r="J3418" s="4"/>
      <c r="K3418" s="4"/>
    </row>
    <row r="3419" spans="10:11" ht="15.75" customHeight="1">
      <c r="J3419" s="4"/>
      <c r="K3419" s="4"/>
    </row>
    <row r="3420" spans="10:11" ht="15.75" customHeight="1">
      <c r="J3420" s="4"/>
      <c r="K3420" s="4"/>
    </row>
    <row r="3421" spans="10:11" ht="15.75" customHeight="1">
      <c r="J3421" s="4"/>
      <c r="K3421" s="4"/>
    </row>
    <row r="3422" spans="10:11" ht="15.75" customHeight="1">
      <c r="J3422" s="4"/>
      <c r="K3422" s="4"/>
    </row>
    <row r="3423" spans="10:11" ht="15.75" customHeight="1">
      <c r="J3423" s="4"/>
      <c r="K3423" s="4"/>
    </row>
    <row r="3424" spans="10:11" ht="15.75" customHeight="1">
      <c r="J3424" s="4"/>
      <c r="K3424" s="4"/>
    </row>
    <row r="3425" spans="10:11" ht="15.75" customHeight="1">
      <c r="J3425" s="4"/>
      <c r="K3425" s="4"/>
    </row>
    <row r="3426" spans="10:11" ht="15.75" customHeight="1">
      <c r="J3426" s="4"/>
      <c r="K3426" s="4"/>
    </row>
    <row r="3427" spans="10:11" ht="15.75" customHeight="1">
      <c r="J3427" s="4"/>
      <c r="K3427" s="4"/>
    </row>
    <row r="3428" spans="10:11" ht="15.75" customHeight="1">
      <c r="J3428" s="4"/>
      <c r="K3428" s="4"/>
    </row>
    <row r="3429" spans="10:11" ht="15.75" customHeight="1">
      <c r="J3429" s="4"/>
      <c r="K3429" s="4"/>
    </row>
    <row r="3430" spans="10:11" ht="15.75" customHeight="1">
      <c r="J3430" s="4"/>
      <c r="K3430" s="4"/>
    </row>
    <row r="3431" spans="10:11" ht="15.75" customHeight="1">
      <c r="J3431" s="4"/>
      <c r="K3431" s="4"/>
    </row>
    <row r="3432" spans="10:11" ht="15.75" customHeight="1">
      <c r="J3432" s="4"/>
      <c r="K3432" s="4"/>
    </row>
    <row r="3433" spans="10:11" ht="15.75" customHeight="1">
      <c r="J3433" s="4"/>
      <c r="K3433" s="4"/>
    </row>
    <row r="3434" spans="10:11" ht="15.75" customHeight="1">
      <c r="J3434" s="4"/>
      <c r="K3434" s="4"/>
    </row>
    <row r="3435" spans="10:11" ht="15.75" customHeight="1">
      <c r="J3435" s="4"/>
      <c r="K3435" s="4"/>
    </row>
    <row r="3436" spans="10:11" ht="15.75" customHeight="1">
      <c r="J3436" s="4"/>
      <c r="K3436" s="4"/>
    </row>
    <row r="3437" spans="10:11" ht="15.75" customHeight="1">
      <c r="J3437" s="4"/>
      <c r="K3437" s="4"/>
    </row>
    <row r="3438" spans="10:11" ht="15.75" customHeight="1">
      <c r="J3438" s="4"/>
      <c r="K3438" s="4"/>
    </row>
    <row r="3439" spans="10:11" ht="15.75" customHeight="1">
      <c r="J3439" s="4"/>
      <c r="K3439" s="4"/>
    </row>
    <row r="3440" spans="10:11" ht="15.75" customHeight="1">
      <c r="J3440" s="4"/>
      <c r="K3440" s="4"/>
    </row>
    <row r="3441" spans="10:11" ht="15.75" customHeight="1">
      <c r="J3441" s="4"/>
      <c r="K3441" s="4"/>
    </row>
    <row r="3442" spans="10:11" ht="15.75" customHeight="1">
      <c r="J3442" s="4"/>
      <c r="K3442" s="4"/>
    </row>
    <row r="3443" spans="10:11" ht="15.75" customHeight="1">
      <c r="J3443" s="4"/>
      <c r="K3443" s="4"/>
    </row>
    <row r="3444" spans="10:11" ht="15.75" customHeight="1">
      <c r="J3444" s="4"/>
      <c r="K3444" s="4"/>
    </row>
    <row r="3445" spans="10:11" ht="15.75" customHeight="1">
      <c r="J3445" s="4"/>
      <c r="K3445" s="4"/>
    </row>
    <row r="3446" spans="10:11" ht="15.75" customHeight="1">
      <c r="J3446" s="4"/>
      <c r="K3446" s="4"/>
    </row>
    <row r="3447" spans="10:11" ht="15.75" customHeight="1">
      <c r="J3447" s="4"/>
      <c r="K3447" s="4"/>
    </row>
    <row r="3448" spans="10:11" ht="15.75" customHeight="1">
      <c r="J3448" s="4"/>
      <c r="K3448" s="4"/>
    </row>
    <row r="3449" spans="10:11" ht="15.75" customHeight="1">
      <c r="J3449" s="4"/>
      <c r="K3449" s="4"/>
    </row>
    <row r="3450" spans="10:11" ht="15.75" customHeight="1">
      <c r="J3450" s="4"/>
      <c r="K3450" s="4"/>
    </row>
    <row r="3451" spans="10:11" ht="15.75" customHeight="1">
      <c r="J3451" s="4"/>
      <c r="K3451" s="4"/>
    </row>
    <row r="3452" spans="10:11" ht="15.75" customHeight="1">
      <c r="J3452" s="4"/>
      <c r="K3452" s="4"/>
    </row>
    <row r="3453" spans="10:11" ht="15.75" customHeight="1">
      <c r="J3453" s="4"/>
      <c r="K3453" s="4"/>
    </row>
    <row r="3454" spans="10:11" ht="15.75" customHeight="1">
      <c r="J3454" s="4"/>
      <c r="K3454" s="4"/>
    </row>
    <row r="3455" spans="10:11" ht="15.75" customHeight="1">
      <c r="J3455" s="4"/>
      <c r="K3455" s="4"/>
    </row>
    <row r="3456" spans="10:11" ht="15.75" customHeight="1">
      <c r="J3456" s="4"/>
      <c r="K3456" s="4"/>
    </row>
    <row r="3457" spans="10:11" ht="15.75" customHeight="1">
      <c r="J3457" s="4"/>
      <c r="K3457" s="4"/>
    </row>
    <row r="3458" spans="10:11" ht="15.75" customHeight="1">
      <c r="J3458" s="4"/>
      <c r="K3458" s="4"/>
    </row>
    <row r="3459" spans="10:11" ht="15.75" customHeight="1">
      <c r="J3459" s="4"/>
      <c r="K3459" s="4"/>
    </row>
    <row r="3460" spans="10:11" ht="15.75" customHeight="1">
      <c r="J3460" s="4"/>
      <c r="K3460" s="4"/>
    </row>
    <row r="3461" spans="10:11" ht="15.75" customHeight="1">
      <c r="J3461" s="4"/>
      <c r="K3461" s="4"/>
    </row>
    <row r="3462" spans="10:11" ht="15.75" customHeight="1">
      <c r="J3462" s="4"/>
      <c r="K3462" s="4"/>
    </row>
    <row r="3463" spans="10:11" ht="15.75" customHeight="1">
      <c r="J3463" s="4"/>
      <c r="K3463" s="4"/>
    </row>
    <row r="3464" spans="10:11" ht="15.75" customHeight="1">
      <c r="J3464" s="4"/>
      <c r="K3464" s="4"/>
    </row>
    <row r="3465" spans="10:11" ht="15.75" customHeight="1">
      <c r="J3465" s="4"/>
      <c r="K3465" s="4"/>
    </row>
    <row r="3466" spans="10:11" ht="15.75" customHeight="1">
      <c r="J3466" s="4"/>
      <c r="K3466" s="4"/>
    </row>
    <row r="3467" spans="10:11" ht="15.75" customHeight="1">
      <c r="J3467" s="4"/>
      <c r="K3467" s="4"/>
    </row>
    <row r="3468" spans="10:11" ht="15.75" customHeight="1">
      <c r="J3468" s="4"/>
      <c r="K3468" s="4"/>
    </row>
    <row r="3469" spans="10:11" ht="15.75" customHeight="1">
      <c r="J3469" s="4"/>
      <c r="K3469" s="4"/>
    </row>
    <row r="3470" spans="10:11" ht="15.75" customHeight="1">
      <c r="J3470" s="4"/>
      <c r="K3470" s="4"/>
    </row>
    <row r="3471" spans="10:11" ht="15.75" customHeight="1">
      <c r="J3471" s="4"/>
      <c r="K3471" s="4"/>
    </row>
    <row r="3472" spans="10:11" ht="15.75" customHeight="1">
      <c r="J3472" s="4"/>
      <c r="K3472" s="4"/>
    </row>
    <row r="3473" spans="10:11" ht="15.75" customHeight="1">
      <c r="J3473" s="4"/>
      <c r="K3473" s="4"/>
    </row>
    <row r="3474" spans="10:11" ht="15.75" customHeight="1">
      <c r="J3474" s="4"/>
      <c r="K3474" s="4"/>
    </row>
    <row r="3475" spans="10:11" ht="15.75" customHeight="1">
      <c r="J3475" s="4"/>
      <c r="K3475" s="4"/>
    </row>
    <row r="3476" spans="10:11" ht="15.75" customHeight="1">
      <c r="J3476" s="4"/>
      <c r="K3476" s="4"/>
    </row>
    <row r="3477" spans="10:11" ht="15.75" customHeight="1">
      <c r="J3477" s="4"/>
      <c r="K3477" s="4"/>
    </row>
    <row r="3478" spans="10:11" ht="15.75" customHeight="1">
      <c r="J3478" s="4"/>
      <c r="K3478" s="4"/>
    </row>
    <row r="3479" spans="10:11" ht="15.75" customHeight="1">
      <c r="J3479" s="4"/>
      <c r="K3479" s="4"/>
    </row>
    <row r="3480" spans="10:11" ht="15.75" customHeight="1">
      <c r="J3480" s="4"/>
      <c r="K3480" s="4"/>
    </row>
    <row r="3481" spans="10:11" ht="15.75" customHeight="1">
      <c r="J3481" s="4"/>
      <c r="K3481" s="4"/>
    </row>
    <row r="3482" spans="10:11" ht="15.75" customHeight="1">
      <c r="J3482" s="4"/>
      <c r="K3482" s="4"/>
    </row>
    <row r="3483" spans="10:11" ht="15.75" customHeight="1">
      <c r="J3483" s="4"/>
      <c r="K3483" s="4"/>
    </row>
    <row r="3484" spans="10:11" ht="15.75" customHeight="1">
      <c r="J3484" s="4"/>
      <c r="K3484" s="4"/>
    </row>
    <row r="3485" spans="10:11" ht="15.75" customHeight="1">
      <c r="J3485" s="4"/>
      <c r="K3485" s="4"/>
    </row>
    <row r="3486" spans="10:11" ht="15.75" customHeight="1">
      <c r="J3486" s="4"/>
      <c r="K3486" s="4"/>
    </row>
    <row r="3487" spans="10:11" ht="15.75" customHeight="1">
      <c r="J3487" s="4"/>
      <c r="K3487" s="4"/>
    </row>
    <row r="3488" spans="10:11" ht="15.75" customHeight="1">
      <c r="J3488" s="4"/>
      <c r="K3488" s="4"/>
    </row>
    <row r="3489" spans="10:11" ht="15.75" customHeight="1">
      <c r="J3489" s="4"/>
      <c r="K3489" s="4"/>
    </row>
    <row r="3490" spans="10:11" ht="15.75" customHeight="1">
      <c r="J3490" s="4"/>
      <c r="K3490" s="4"/>
    </row>
    <row r="3491" spans="10:11" ht="15.75" customHeight="1">
      <c r="J3491" s="4"/>
      <c r="K3491" s="4"/>
    </row>
    <row r="3492" spans="10:11" ht="15.75" customHeight="1">
      <c r="J3492" s="4"/>
      <c r="K3492" s="4"/>
    </row>
    <row r="3493" spans="10:11" ht="15.75" customHeight="1">
      <c r="J3493" s="4"/>
      <c r="K3493" s="4"/>
    </row>
    <row r="3494" spans="10:11" ht="15.75" customHeight="1">
      <c r="J3494" s="4"/>
      <c r="K3494" s="4"/>
    </row>
    <row r="3495" spans="10:11" ht="15.75" customHeight="1">
      <c r="J3495" s="4"/>
      <c r="K3495" s="4"/>
    </row>
    <row r="3496" spans="10:11" ht="15.75" customHeight="1">
      <c r="J3496" s="4"/>
      <c r="K3496" s="4"/>
    </row>
    <row r="3497" spans="10:11" ht="15.75" customHeight="1">
      <c r="J3497" s="4"/>
      <c r="K3497" s="4"/>
    </row>
    <row r="3498" spans="10:11" ht="15.75" customHeight="1">
      <c r="J3498" s="4"/>
      <c r="K3498" s="4"/>
    </row>
    <row r="3499" spans="10:11" ht="15.75" customHeight="1">
      <c r="J3499" s="4"/>
      <c r="K3499" s="4"/>
    </row>
    <row r="3500" spans="10:11" ht="15.75" customHeight="1">
      <c r="J3500" s="4"/>
      <c r="K3500" s="4"/>
    </row>
    <row r="3501" spans="10:11" ht="15.75" customHeight="1">
      <c r="J3501" s="4"/>
      <c r="K3501" s="4"/>
    </row>
    <row r="3502" spans="10:11" ht="15.75" customHeight="1">
      <c r="J3502" s="4"/>
      <c r="K3502" s="4"/>
    </row>
    <row r="3503" spans="10:11" ht="15.75" customHeight="1">
      <c r="J3503" s="4"/>
      <c r="K3503" s="4"/>
    </row>
    <row r="3504" spans="10:11" ht="15.75" customHeight="1">
      <c r="J3504" s="4"/>
      <c r="K3504" s="4"/>
    </row>
    <row r="3505" spans="10:11" ht="15.75" customHeight="1">
      <c r="J3505" s="4"/>
      <c r="K3505" s="4"/>
    </row>
    <row r="3506" spans="10:11" ht="15.75" customHeight="1">
      <c r="J3506" s="4"/>
      <c r="K3506" s="4"/>
    </row>
    <row r="3507" spans="10:11" ht="15.75" customHeight="1">
      <c r="J3507" s="4"/>
      <c r="K3507" s="4"/>
    </row>
    <row r="3508" spans="10:11" ht="15.75" customHeight="1">
      <c r="J3508" s="4"/>
      <c r="K3508" s="4"/>
    </row>
    <row r="3509" spans="10:11" ht="15.75" customHeight="1">
      <c r="J3509" s="4"/>
      <c r="K3509" s="4"/>
    </row>
    <row r="3510" spans="10:11" ht="15.75" customHeight="1">
      <c r="J3510" s="4"/>
      <c r="K3510" s="4"/>
    </row>
    <row r="3511" spans="10:11" ht="15.75" customHeight="1">
      <c r="J3511" s="4"/>
      <c r="K3511" s="4"/>
    </row>
    <row r="3512" spans="10:11" ht="15.75" customHeight="1">
      <c r="J3512" s="4"/>
      <c r="K3512" s="4"/>
    </row>
    <row r="3513" spans="10:11" ht="15.75" customHeight="1">
      <c r="J3513" s="4"/>
      <c r="K3513" s="4"/>
    </row>
    <row r="3514" spans="10:11" ht="15.75" customHeight="1">
      <c r="J3514" s="4"/>
      <c r="K3514" s="4"/>
    </row>
    <row r="3515" spans="10:11" ht="15.75" customHeight="1">
      <c r="J3515" s="4"/>
      <c r="K3515" s="4"/>
    </row>
    <row r="3516" spans="10:11" ht="15.75" customHeight="1">
      <c r="J3516" s="4"/>
      <c r="K3516" s="4"/>
    </row>
    <row r="3517" spans="10:11" ht="15.75" customHeight="1">
      <c r="J3517" s="4"/>
      <c r="K3517" s="4"/>
    </row>
    <row r="3518" spans="10:11" ht="15.75" customHeight="1">
      <c r="J3518" s="4"/>
      <c r="K3518" s="4"/>
    </row>
    <row r="3519" spans="10:11" ht="15.75" customHeight="1">
      <c r="J3519" s="4"/>
      <c r="K3519" s="4"/>
    </row>
    <row r="3520" spans="10:11" ht="15.75" customHeight="1">
      <c r="J3520" s="4"/>
      <c r="K3520" s="4"/>
    </row>
    <row r="3521" spans="10:11" ht="15.75" customHeight="1">
      <c r="J3521" s="4"/>
      <c r="K3521" s="4"/>
    </row>
    <row r="3522" spans="10:11" ht="15.75" customHeight="1">
      <c r="J3522" s="4"/>
      <c r="K3522" s="4"/>
    </row>
    <row r="3523" spans="10:11" ht="15.75" customHeight="1">
      <c r="J3523" s="4"/>
      <c r="K3523" s="4"/>
    </row>
    <row r="3524" spans="10:11" ht="15.75" customHeight="1">
      <c r="J3524" s="4"/>
      <c r="K3524" s="4"/>
    </row>
    <row r="3525" spans="10:11" ht="15.75" customHeight="1">
      <c r="J3525" s="4"/>
      <c r="K3525" s="4"/>
    </row>
    <row r="3526" spans="10:11" ht="15.75" customHeight="1">
      <c r="J3526" s="4"/>
      <c r="K3526" s="4"/>
    </row>
    <row r="3527" spans="10:11" ht="15.75" customHeight="1">
      <c r="J3527" s="4"/>
      <c r="K3527" s="4"/>
    </row>
    <row r="3528" spans="10:11" ht="15.75" customHeight="1">
      <c r="J3528" s="4"/>
      <c r="K3528" s="4"/>
    </row>
    <row r="3529" spans="10:11" ht="15.75" customHeight="1">
      <c r="J3529" s="4"/>
      <c r="K3529" s="4"/>
    </row>
    <row r="3530" spans="10:11" ht="15.75" customHeight="1">
      <c r="J3530" s="4"/>
      <c r="K3530" s="4"/>
    </row>
    <row r="3531" spans="10:11" ht="15.75" customHeight="1">
      <c r="J3531" s="4"/>
      <c r="K3531" s="4"/>
    </row>
    <row r="3532" spans="10:11" ht="15.75" customHeight="1">
      <c r="J3532" s="4"/>
      <c r="K3532" s="4"/>
    </row>
    <row r="3533" spans="10:11" ht="15.75" customHeight="1">
      <c r="J3533" s="4"/>
      <c r="K3533" s="4"/>
    </row>
    <row r="3534" spans="10:11" ht="15.75" customHeight="1">
      <c r="J3534" s="4"/>
      <c r="K3534" s="4"/>
    </row>
    <row r="3535" spans="10:11" ht="15.75" customHeight="1">
      <c r="J3535" s="4"/>
      <c r="K3535" s="4"/>
    </row>
    <row r="3536" spans="10:11" ht="15.75" customHeight="1">
      <c r="J3536" s="4"/>
      <c r="K3536" s="4"/>
    </row>
    <row r="3537" spans="10:11" ht="15.75" customHeight="1">
      <c r="J3537" s="4"/>
      <c r="K3537" s="4"/>
    </row>
    <row r="3538" spans="10:11" ht="15.75" customHeight="1">
      <c r="J3538" s="4"/>
      <c r="K3538" s="4"/>
    </row>
    <row r="3539" spans="10:11" ht="15.75" customHeight="1">
      <c r="J3539" s="4"/>
      <c r="K3539" s="4"/>
    </row>
    <row r="3540" spans="10:11" ht="15.75" customHeight="1">
      <c r="J3540" s="4"/>
      <c r="K3540" s="4"/>
    </row>
    <row r="3541" spans="10:11" ht="15.75" customHeight="1">
      <c r="J3541" s="4"/>
      <c r="K3541" s="4"/>
    </row>
    <row r="3542" spans="10:11" ht="15.75" customHeight="1">
      <c r="J3542" s="4"/>
      <c r="K3542" s="4"/>
    </row>
    <row r="3543" spans="10:11" ht="15.75" customHeight="1">
      <c r="J3543" s="4"/>
      <c r="K3543" s="4"/>
    </row>
    <row r="3544" spans="10:11" ht="15.75" customHeight="1">
      <c r="J3544" s="4"/>
      <c r="K3544" s="4"/>
    </row>
    <row r="3545" spans="10:11" ht="15.75" customHeight="1">
      <c r="J3545" s="4"/>
      <c r="K3545" s="4"/>
    </row>
    <row r="3546" spans="10:11" ht="15.75" customHeight="1">
      <c r="J3546" s="4"/>
      <c r="K3546" s="4"/>
    </row>
    <row r="3547" spans="10:11" ht="15.75" customHeight="1">
      <c r="J3547" s="4"/>
      <c r="K3547" s="4"/>
    </row>
    <row r="3548" spans="10:11" ht="15.75" customHeight="1">
      <c r="J3548" s="4"/>
      <c r="K3548" s="4"/>
    </row>
    <row r="3549" spans="10:11" ht="15.75" customHeight="1">
      <c r="J3549" s="4"/>
      <c r="K3549" s="4"/>
    </row>
    <row r="3550" spans="10:11" ht="15.75" customHeight="1">
      <c r="J3550" s="4"/>
      <c r="K3550" s="4"/>
    </row>
    <row r="3551" spans="10:11" ht="15.75" customHeight="1">
      <c r="J3551" s="4"/>
      <c r="K3551" s="4"/>
    </row>
    <row r="3552" spans="10:11" ht="15.75" customHeight="1">
      <c r="J3552" s="4"/>
      <c r="K3552" s="4"/>
    </row>
    <row r="3553" spans="10:11" ht="15.75" customHeight="1">
      <c r="J3553" s="4"/>
      <c r="K3553" s="4"/>
    </row>
    <row r="3554" spans="10:11" ht="15.75" customHeight="1">
      <c r="J3554" s="4"/>
      <c r="K3554" s="4"/>
    </row>
    <row r="3555" spans="10:11" ht="15.75" customHeight="1">
      <c r="J3555" s="4"/>
      <c r="K3555" s="4"/>
    </row>
    <row r="3556" spans="10:11" ht="15.75" customHeight="1">
      <c r="J3556" s="4"/>
      <c r="K3556" s="4"/>
    </row>
    <row r="3557" spans="10:11" ht="15.75" customHeight="1">
      <c r="J3557" s="4"/>
      <c r="K3557" s="4"/>
    </row>
    <row r="3558" spans="10:11" ht="15.75" customHeight="1">
      <c r="J3558" s="4"/>
      <c r="K3558" s="4"/>
    </row>
    <row r="3559" spans="10:11" ht="15.75" customHeight="1">
      <c r="J3559" s="4"/>
      <c r="K3559" s="4"/>
    </row>
    <row r="3560" spans="10:11" ht="15.75" customHeight="1">
      <c r="J3560" s="4"/>
      <c r="K3560" s="4"/>
    </row>
    <row r="3561" spans="10:11" ht="15.75" customHeight="1">
      <c r="J3561" s="4"/>
      <c r="K3561" s="4"/>
    </row>
    <row r="3562" spans="10:11" ht="15.75" customHeight="1">
      <c r="J3562" s="4"/>
      <c r="K3562" s="4"/>
    </row>
    <row r="3563" spans="10:11" ht="15.75" customHeight="1">
      <c r="J3563" s="4"/>
      <c r="K3563" s="4"/>
    </row>
    <row r="3564" spans="10:11" ht="15.75" customHeight="1">
      <c r="J3564" s="4"/>
      <c r="K3564" s="4"/>
    </row>
    <row r="3565" spans="10:11" ht="15.75" customHeight="1">
      <c r="J3565" s="4"/>
      <c r="K3565" s="4"/>
    </row>
    <row r="3566" spans="10:11" ht="15.75" customHeight="1">
      <c r="J3566" s="4"/>
      <c r="K3566" s="4"/>
    </row>
    <row r="3567" spans="10:11" ht="15.75" customHeight="1">
      <c r="J3567" s="4"/>
      <c r="K3567" s="4"/>
    </row>
    <row r="3568" spans="10:11" ht="15.75" customHeight="1">
      <c r="J3568" s="4"/>
      <c r="K3568" s="4"/>
    </row>
    <row r="3569" spans="10:11" ht="15.75" customHeight="1">
      <c r="J3569" s="4"/>
      <c r="K3569" s="4"/>
    </row>
    <row r="3570" spans="10:11" ht="15.75" customHeight="1">
      <c r="J3570" s="4"/>
      <c r="K3570" s="4"/>
    </row>
    <row r="3571" spans="10:11" ht="15.75" customHeight="1">
      <c r="J3571" s="4"/>
      <c r="K3571" s="4"/>
    </row>
    <row r="3572" spans="10:11" ht="15.75" customHeight="1">
      <c r="J3572" s="4"/>
      <c r="K3572" s="4"/>
    </row>
    <row r="3573" spans="10:11" ht="15.75" customHeight="1">
      <c r="J3573" s="4"/>
      <c r="K3573" s="4"/>
    </row>
    <row r="3574" spans="10:11" ht="15.75" customHeight="1">
      <c r="J3574" s="4"/>
      <c r="K3574" s="4"/>
    </row>
    <row r="3575" spans="10:11" ht="15.75" customHeight="1">
      <c r="J3575" s="4"/>
      <c r="K3575" s="4"/>
    </row>
    <row r="3576" spans="10:11" ht="15.75" customHeight="1">
      <c r="J3576" s="4"/>
      <c r="K3576" s="4"/>
    </row>
    <row r="3577" spans="10:11" ht="15.75" customHeight="1">
      <c r="J3577" s="4"/>
      <c r="K3577" s="4"/>
    </row>
    <row r="3578" spans="10:11" ht="15.75" customHeight="1">
      <c r="J3578" s="4"/>
      <c r="K3578" s="4"/>
    </row>
    <row r="3579" spans="10:11" ht="15.75" customHeight="1">
      <c r="J3579" s="4"/>
      <c r="K3579" s="4"/>
    </row>
    <row r="3580" spans="10:11" ht="15.75" customHeight="1">
      <c r="J3580" s="4"/>
      <c r="K3580" s="4"/>
    </row>
    <row r="3581" spans="10:11" ht="15.75" customHeight="1">
      <c r="J3581" s="4"/>
      <c r="K3581" s="4"/>
    </row>
    <row r="3582" spans="10:11" ht="15.75" customHeight="1">
      <c r="J3582" s="4"/>
      <c r="K3582" s="4"/>
    </row>
    <row r="3583" spans="10:11" ht="15.75" customHeight="1">
      <c r="J3583" s="4"/>
      <c r="K3583" s="4"/>
    </row>
    <row r="3584" spans="10:11" ht="15.75" customHeight="1">
      <c r="J3584" s="4"/>
      <c r="K3584" s="4"/>
    </row>
    <row r="3585" spans="10:11" ht="15.75" customHeight="1">
      <c r="J3585" s="4"/>
      <c r="K3585" s="4"/>
    </row>
    <row r="3586" spans="10:11" ht="15.75" customHeight="1">
      <c r="J3586" s="4"/>
      <c r="K3586" s="4"/>
    </row>
    <row r="3587" spans="10:11" ht="15.75" customHeight="1">
      <c r="J3587" s="4"/>
      <c r="K3587" s="4"/>
    </row>
    <row r="3588" spans="10:11" ht="15.75" customHeight="1">
      <c r="J3588" s="4"/>
      <c r="K3588" s="4"/>
    </row>
    <row r="3589" spans="10:11" ht="15.75" customHeight="1">
      <c r="J3589" s="4"/>
      <c r="K3589" s="4"/>
    </row>
    <row r="3590" spans="10:11" ht="15.75" customHeight="1">
      <c r="J3590" s="4"/>
      <c r="K3590" s="4"/>
    </row>
    <row r="3591" spans="10:11" ht="15.75" customHeight="1">
      <c r="J3591" s="4"/>
      <c r="K3591" s="4"/>
    </row>
    <row r="3592" spans="10:11" ht="15.75" customHeight="1">
      <c r="J3592" s="4"/>
      <c r="K3592" s="4"/>
    </row>
    <row r="3593" spans="10:11" ht="15.75" customHeight="1">
      <c r="J3593" s="4"/>
      <c r="K3593" s="4"/>
    </row>
    <row r="3594" spans="10:11" ht="15.75" customHeight="1">
      <c r="J3594" s="4"/>
      <c r="K3594" s="4"/>
    </row>
    <row r="3595" spans="10:11" ht="15.75" customHeight="1">
      <c r="J3595" s="4"/>
      <c r="K3595" s="4"/>
    </row>
    <row r="3596" spans="10:11" ht="15.75" customHeight="1">
      <c r="J3596" s="4"/>
      <c r="K3596" s="4"/>
    </row>
    <row r="3597" spans="10:11" ht="15.75" customHeight="1">
      <c r="J3597" s="4"/>
      <c r="K3597" s="4"/>
    </row>
    <row r="3598" spans="10:11" ht="15.75" customHeight="1">
      <c r="J3598" s="4"/>
      <c r="K3598" s="4"/>
    </row>
    <row r="3599" spans="10:11" ht="15.75" customHeight="1">
      <c r="J3599" s="4"/>
      <c r="K3599" s="4"/>
    </row>
    <row r="3600" spans="10:11" ht="15.75" customHeight="1">
      <c r="J3600" s="4"/>
      <c r="K3600" s="4"/>
    </row>
    <row r="3601" spans="10:11" ht="15.75" customHeight="1">
      <c r="J3601" s="4"/>
      <c r="K3601" s="4"/>
    </row>
    <row r="3602" spans="10:11" ht="15.75" customHeight="1">
      <c r="J3602" s="4"/>
      <c r="K3602" s="4"/>
    </row>
    <row r="3603" spans="10:11" ht="15.75" customHeight="1">
      <c r="J3603" s="4"/>
      <c r="K3603" s="4"/>
    </row>
    <row r="3604" spans="10:11" ht="15.75" customHeight="1">
      <c r="J3604" s="4"/>
      <c r="K3604" s="4"/>
    </row>
    <row r="3605" spans="10:11" ht="15.75" customHeight="1">
      <c r="J3605" s="4"/>
      <c r="K3605" s="4"/>
    </row>
    <row r="3606" spans="10:11" ht="15.75" customHeight="1">
      <c r="J3606" s="4"/>
      <c r="K3606" s="4"/>
    </row>
    <row r="3607" spans="10:11" ht="15.75" customHeight="1">
      <c r="J3607" s="4"/>
      <c r="K3607" s="4"/>
    </row>
    <row r="3608" spans="10:11" ht="15.75" customHeight="1">
      <c r="J3608" s="4"/>
      <c r="K3608" s="4"/>
    </row>
    <row r="3609" spans="10:11" ht="15.75" customHeight="1">
      <c r="J3609" s="4"/>
      <c r="K3609" s="4"/>
    </row>
    <row r="3610" spans="10:11" ht="15.75" customHeight="1">
      <c r="J3610" s="4"/>
      <c r="K3610" s="4"/>
    </row>
    <row r="3611" spans="10:11" ht="15.75" customHeight="1">
      <c r="J3611" s="4"/>
      <c r="K3611" s="4"/>
    </row>
    <row r="3612" spans="10:11" ht="15.75" customHeight="1">
      <c r="J3612" s="4"/>
      <c r="K3612" s="4"/>
    </row>
    <row r="3613" spans="10:11" ht="15.75" customHeight="1">
      <c r="J3613" s="4"/>
      <c r="K3613" s="4"/>
    </row>
    <row r="3614" spans="10:11" ht="15.75" customHeight="1">
      <c r="J3614" s="4"/>
      <c r="K3614" s="4"/>
    </row>
    <row r="3615" spans="10:11" ht="15.75" customHeight="1">
      <c r="J3615" s="4"/>
      <c r="K3615" s="4"/>
    </row>
    <row r="3616" spans="10:11" ht="15.75" customHeight="1">
      <c r="J3616" s="4"/>
      <c r="K3616" s="4"/>
    </row>
    <row r="3617" spans="10:11" ht="15.75" customHeight="1">
      <c r="J3617" s="4"/>
      <c r="K3617" s="4"/>
    </row>
    <row r="3618" spans="10:11" ht="15.75" customHeight="1">
      <c r="J3618" s="4"/>
      <c r="K3618" s="4"/>
    </row>
    <row r="3619" spans="10:11" ht="15.75" customHeight="1">
      <c r="J3619" s="4"/>
      <c r="K3619" s="4"/>
    </row>
    <row r="3620" spans="10:11" ht="15.75" customHeight="1">
      <c r="J3620" s="4"/>
      <c r="K3620" s="4"/>
    </row>
    <row r="3621" spans="10:11" ht="15.75" customHeight="1">
      <c r="J3621" s="4"/>
      <c r="K3621" s="4"/>
    </row>
    <row r="3622" spans="10:11" ht="15.75" customHeight="1">
      <c r="J3622" s="4"/>
      <c r="K3622" s="4"/>
    </row>
    <row r="3623" spans="10:11" ht="15.75" customHeight="1">
      <c r="J3623" s="4"/>
      <c r="K3623" s="4"/>
    </row>
    <row r="3624" spans="10:11" ht="15.75" customHeight="1">
      <c r="J3624" s="4"/>
      <c r="K3624" s="4"/>
    </row>
    <row r="3625" spans="10:11" ht="15.75" customHeight="1">
      <c r="J3625" s="4"/>
      <c r="K3625" s="4"/>
    </row>
    <row r="3626" spans="10:11" ht="15.75" customHeight="1">
      <c r="J3626" s="4"/>
      <c r="K3626" s="4"/>
    </row>
    <row r="3627" spans="10:11" ht="15.75" customHeight="1">
      <c r="J3627" s="4"/>
      <c r="K3627" s="4"/>
    </row>
    <row r="3628" spans="10:11" ht="15.75" customHeight="1">
      <c r="J3628" s="4"/>
      <c r="K3628" s="4"/>
    </row>
    <row r="3629" spans="10:11" ht="15.75" customHeight="1">
      <c r="J3629" s="4"/>
      <c r="K3629" s="4"/>
    </row>
    <row r="3630" spans="10:11" ht="15.75" customHeight="1">
      <c r="J3630" s="4"/>
      <c r="K3630" s="4"/>
    </row>
    <row r="3631" spans="10:11" ht="15.75" customHeight="1">
      <c r="J3631" s="4"/>
      <c r="K3631" s="4"/>
    </row>
    <row r="3632" spans="10:11" ht="15.75" customHeight="1">
      <c r="J3632" s="4"/>
      <c r="K3632" s="4"/>
    </row>
    <row r="3633" spans="10:11" ht="15.75" customHeight="1">
      <c r="J3633" s="4"/>
      <c r="K3633" s="4"/>
    </row>
    <row r="3634" spans="10:11" ht="15.75" customHeight="1">
      <c r="J3634" s="4"/>
      <c r="K3634" s="4"/>
    </row>
    <row r="3635" spans="10:11" ht="15.75" customHeight="1">
      <c r="J3635" s="4"/>
      <c r="K3635" s="4"/>
    </row>
    <row r="3636" spans="10:11" ht="15.75" customHeight="1">
      <c r="J3636" s="4"/>
      <c r="K3636" s="4"/>
    </row>
    <row r="3637" spans="10:11" ht="15.75" customHeight="1">
      <c r="J3637" s="4"/>
      <c r="K3637" s="4"/>
    </row>
    <row r="3638" spans="10:11" ht="15.75" customHeight="1">
      <c r="J3638" s="4"/>
      <c r="K3638" s="4"/>
    </row>
    <row r="3639" spans="10:11" ht="15.75" customHeight="1">
      <c r="J3639" s="4"/>
      <c r="K3639" s="4"/>
    </row>
    <row r="3640" spans="10:11" ht="15.75" customHeight="1">
      <c r="J3640" s="4"/>
      <c r="K3640" s="4"/>
    </row>
    <row r="3641" spans="10:11" ht="15.75" customHeight="1">
      <c r="J3641" s="4"/>
      <c r="K3641" s="4"/>
    </row>
    <row r="3642" spans="10:11" ht="15.75" customHeight="1">
      <c r="J3642" s="4"/>
      <c r="K3642" s="4"/>
    </row>
    <row r="3643" spans="10:11" ht="15.75" customHeight="1">
      <c r="J3643" s="4"/>
      <c r="K3643" s="4"/>
    </row>
    <row r="3644" spans="10:11" ht="15.75" customHeight="1">
      <c r="J3644" s="4"/>
      <c r="K3644" s="4"/>
    </row>
    <row r="3645" spans="10:11" ht="15.75" customHeight="1">
      <c r="J3645" s="4"/>
      <c r="K3645" s="4"/>
    </row>
    <row r="3646" spans="10:11" ht="15.75" customHeight="1">
      <c r="J3646" s="4"/>
      <c r="K3646" s="4"/>
    </row>
    <row r="3647" spans="10:11" ht="15.75" customHeight="1">
      <c r="J3647" s="4"/>
      <c r="K3647" s="4"/>
    </row>
    <row r="3648" spans="10:11" ht="15.75" customHeight="1">
      <c r="J3648" s="4"/>
      <c r="K3648" s="4"/>
    </row>
    <row r="3649" spans="10:11" ht="15.75" customHeight="1">
      <c r="J3649" s="4"/>
      <c r="K3649" s="4"/>
    </row>
    <row r="3650" spans="10:11" ht="15.75" customHeight="1">
      <c r="J3650" s="4"/>
      <c r="K3650" s="4"/>
    </row>
    <row r="3651" spans="10:11" ht="15.75" customHeight="1">
      <c r="J3651" s="4"/>
      <c r="K3651" s="4"/>
    </row>
    <row r="3652" spans="10:11" ht="15.75" customHeight="1">
      <c r="J3652" s="4"/>
      <c r="K3652" s="4"/>
    </row>
    <row r="3653" spans="10:11" ht="15.75" customHeight="1">
      <c r="J3653" s="4"/>
      <c r="K3653" s="4"/>
    </row>
    <row r="3654" spans="10:11" ht="15.75" customHeight="1">
      <c r="J3654" s="4"/>
      <c r="K3654" s="4"/>
    </row>
    <row r="3655" spans="10:11" ht="15.75" customHeight="1">
      <c r="J3655" s="4"/>
      <c r="K3655" s="4"/>
    </row>
    <row r="3656" spans="10:11" ht="15.75" customHeight="1">
      <c r="J3656" s="4"/>
      <c r="K3656" s="4"/>
    </row>
    <row r="3657" spans="10:11" ht="15.75" customHeight="1">
      <c r="J3657" s="4"/>
      <c r="K3657" s="4"/>
    </row>
    <row r="3658" spans="10:11" ht="15.75" customHeight="1">
      <c r="J3658" s="4"/>
      <c r="K3658" s="4"/>
    </row>
    <row r="3659" spans="10:11" ht="15.75" customHeight="1">
      <c r="J3659" s="4"/>
      <c r="K3659" s="4"/>
    </row>
    <row r="3660" spans="10:11" ht="15.75" customHeight="1">
      <c r="J3660" s="4"/>
      <c r="K3660" s="4"/>
    </row>
    <row r="3661" spans="10:11" ht="15.75" customHeight="1">
      <c r="J3661" s="4"/>
      <c r="K3661" s="4"/>
    </row>
    <row r="3662" spans="10:11" ht="15.75" customHeight="1">
      <c r="J3662" s="4"/>
      <c r="K3662" s="4"/>
    </row>
    <row r="3663" spans="10:11" ht="15.75" customHeight="1">
      <c r="J3663" s="4"/>
      <c r="K3663" s="4"/>
    </row>
    <row r="3664" spans="10:11" ht="15.75" customHeight="1">
      <c r="J3664" s="4"/>
      <c r="K3664" s="4"/>
    </row>
    <row r="3665" spans="10:11" ht="15.75" customHeight="1">
      <c r="J3665" s="4"/>
      <c r="K3665" s="4"/>
    </row>
    <row r="3666" spans="10:11" ht="15.75" customHeight="1">
      <c r="J3666" s="4"/>
      <c r="K3666" s="4"/>
    </row>
    <row r="3667" spans="10:11" ht="15.75" customHeight="1">
      <c r="J3667" s="4"/>
      <c r="K3667" s="4"/>
    </row>
    <row r="3668" spans="10:11" ht="15.75" customHeight="1">
      <c r="J3668" s="4"/>
      <c r="K3668" s="4"/>
    </row>
    <row r="3669" spans="10:11" ht="15.75" customHeight="1">
      <c r="J3669" s="4"/>
      <c r="K3669" s="4"/>
    </row>
    <row r="3670" spans="10:11" ht="15.75" customHeight="1">
      <c r="J3670" s="4"/>
      <c r="K3670" s="4"/>
    </row>
    <row r="3671" spans="10:11" ht="15.75" customHeight="1">
      <c r="J3671" s="4"/>
      <c r="K3671" s="4"/>
    </row>
    <row r="3672" spans="10:11" ht="15.75" customHeight="1">
      <c r="J3672" s="4"/>
      <c r="K3672" s="4"/>
    </row>
    <row r="3673" spans="10:11" ht="15.75" customHeight="1">
      <c r="J3673" s="4"/>
      <c r="K3673" s="4"/>
    </row>
    <row r="3674" spans="10:11" ht="15.75" customHeight="1">
      <c r="J3674" s="4"/>
      <c r="K3674" s="4"/>
    </row>
    <row r="3675" spans="10:11" ht="15.75" customHeight="1">
      <c r="J3675" s="4"/>
      <c r="K3675" s="4"/>
    </row>
    <row r="3676" spans="10:11" ht="15.75" customHeight="1">
      <c r="J3676" s="4"/>
      <c r="K3676" s="4"/>
    </row>
    <row r="3677" spans="10:11" ht="15.75" customHeight="1">
      <c r="J3677" s="4"/>
      <c r="K3677" s="4"/>
    </row>
    <row r="3678" spans="10:11" ht="15.75" customHeight="1">
      <c r="J3678" s="4"/>
      <c r="K3678" s="4"/>
    </row>
    <row r="3679" spans="10:11" ht="15.75" customHeight="1">
      <c r="J3679" s="4"/>
      <c r="K3679" s="4"/>
    </row>
    <row r="3680" spans="10:11" ht="15.75" customHeight="1">
      <c r="J3680" s="4"/>
      <c r="K3680" s="4"/>
    </row>
    <row r="3681" spans="10:11" ht="15.75" customHeight="1">
      <c r="J3681" s="4"/>
      <c r="K3681" s="4"/>
    </row>
    <row r="3682" spans="10:11" ht="15.75" customHeight="1">
      <c r="J3682" s="4"/>
      <c r="K3682" s="4"/>
    </row>
    <row r="3683" spans="10:11" ht="15.75" customHeight="1">
      <c r="J3683" s="4"/>
      <c r="K3683" s="4"/>
    </row>
    <row r="3684" spans="10:11" ht="15.75" customHeight="1">
      <c r="J3684" s="4"/>
      <c r="K3684" s="4"/>
    </row>
    <row r="3685" spans="10:11" ht="15.75" customHeight="1">
      <c r="J3685" s="4"/>
      <c r="K3685" s="4"/>
    </row>
    <row r="3686" spans="10:11" ht="15.75" customHeight="1">
      <c r="J3686" s="4"/>
      <c r="K3686" s="4"/>
    </row>
    <row r="3687" spans="10:11" ht="15.75" customHeight="1">
      <c r="J3687" s="4"/>
      <c r="K3687" s="4"/>
    </row>
    <row r="3688" spans="10:11" ht="15.75" customHeight="1">
      <c r="J3688" s="4"/>
      <c r="K3688" s="4"/>
    </row>
    <row r="3689" spans="10:11" ht="15.75" customHeight="1">
      <c r="J3689" s="4"/>
      <c r="K3689" s="4"/>
    </row>
    <row r="3690" spans="10:11" ht="15.75" customHeight="1">
      <c r="J3690" s="4"/>
      <c r="K3690" s="4"/>
    </row>
    <row r="3691" spans="10:11" ht="15.75" customHeight="1">
      <c r="J3691" s="4"/>
      <c r="K3691" s="4"/>
    </row>
    <row r="3692" spans="10:11" ht="15.75" customHeight="1">
      <c r="J3692" s="4"/>
      <c r="K3692" s="4"/>
    </row>
    <row r="3693" spans="10:11" ht="15.75" customHeight="1">
      <c r="J3693" s="4"/>
      <c r="K3693" s="4"/>
    </row>
    <row r="3694" spans="10:11" ht="15.75" customHeight="1">
      <c r="J3694" s="4"/>
      <c r="K3694" s="4"/>
    </row>
    <row r="3695" spans="10:11" ht="15.75" customHeight="1">
      <c r="J3695" s="4"/>
      <c r="K3695" s="4"/>
    </row>
    <row r="3696" spans="10:11" ht="15.75" customHeight="1">
      <c r="J3696" s="4"/>
      <c r="K3696" s="4"/>
    </row>
    <row r="3697" spans="10:11" ht="15.75" customHeight="1">
      <c r="J3697" s="4"/>
      <c r="K3697" s="4"/>
    </row>
    <row r="3698" spans="10:11" ht="15.75" customHeight="1">
      <c r="J3698" s="4"/>
      <c r="K3698" s="4"/>
    </row>
    <row r="3699" spans="10:11" ht="15.75" customHeight="1">
      <c r="J3699" s="4"/>
      <c r="K3699" s="4"/>
    </row>
    <row r="3700" spans="10:11" ht="15.75" customHeight="1">
      <c r="J3700" s="4"/>
      <c r="K3700" s="4"/>
    </row>
    <row r="3701" spans="10:11" ht="15.75" customHeight="1">
      <c r="J3701" s="4"/>
      <c r="K3701" s="4"/>
    </row>
    <row r="3702" spans="10:11" ht="15.75" customHeight="1">
      <c r="J3702" s="4"/>
      <c r="K3702" s="4"/>
    </row>
    <row r="3703" spans="10:11" ht="15.75" customHeight="1">
      <c r="J3703" s="4"/>
      <c r="K3703" s="4"/>
    </row>
    <row r="3704" spans="10:11" ht="15.75" customHeight="1">
      <c r="J3704" s="4"/>
      <c r="K3704" s="4"/>
    </row>
    <row r="3705" spans="10:11" ht="15.75" customHeight="1">
      <c r="J3705" s="4"/>
      <c r="K3705" s="4"/>
    </row>
    <row r="3706" spans="10:11" ht="15.75" customHeight="1">
      <c r="J3706" s="4"/>
      <c r="K3706" s="4"/>
    </row>
    <row r="3707" spans="10:11" ht="15.75" customHeight="1">
      <c r="J3707" s="4"/>
      <c r="K3707" s="4"/>
    </row>
    <row r="3708" spans="10:11" ht="15.75" customHeight="1">
      <c r="J3708" s="4"/>
      <c r="K3708" s="4"/>
    </row>
    <row r="3709" spans="10:11" ht="15.75" customHeight="1">
      <c r="J3709" s="4"/>
      <c r="K3709" s="4"/>
    </row>
    <row r="3710" spans="10:11" ht="15.75" customHeight="1">
      <c r="J3710" s="4"/>
      <c r="K3710" s="4"/>
    </row>
    <row r="3711" spans="10:11" ht="15.75" customHeight="1">
      <c r="J3711" s="4"/>
      <c r="K3711" s="4"/>
    </row>
    <row r="3712" spans="10:11" ht="15.75" customHeight="1">
      <c r="J3712" s="4"/>
      <c r="K3712" s="4"/>
    </row>
    <row r="3713" spans="10:11" ht="15.75" customHeight="1">
      <c r="J3713" s="4"/>
      <c r="K3713" s="4"/>
    </row>
    <row r="3714" spans="10:11" ht="15.75" customHeight="1">
      <c r="J3714" s="4"/>
      <c r="K3714" s="4"/>
    </row>
    <row r="3715" spans="10:11" ht="15.75" customHeight="1">
      <c r="J3715" s="4"/>
      <c r="K3715" s="4"/>
    </row>
    <row r="3716" spans="10:11" ht="15.75" customHeight="1">
      <c r="J3716" s="4"/>
      <c r="K3716" s="4"/>
    </row>
    <row r="3717" spans="10:11" ht="15.75" customHeight="1">
      <c r="J3717" s="4"/>
      <c r="K3717" s="4"/>
    </row>
    <row r="3718" spans="10:11" ht="15.75" customHeight="1">
      <c r="J3718" s="4"/>
      <c r="K3718" s="4"/>
    </row>
    <row r="3719" spans="10:11" ht="15.75" customHeight="1">
      <c r="J3719" s="4"/>
      <c r="K3719" s="4"/>
    </row>
    <row r="3720" spans="10:11" ht="15.75" customHeight="1">
      <c r="J3720" s="4"/>
      <c r="K3720" s="4"/>
    </row>
    <row r="3721" spans="10:11" ht="15.75" customHeight="1">
      <c r="J3721" s="4"/>
      <c r="K3721" s="4"/>
    </row>
    <row r="3722" spans="10:11" ht="15.75" customHeight="1">
      <c r="J3722" s="4"/>
      <c r="K3722" s="4"/>
    </row>
    <row r="3723" spans="10:11" ht="15.75" customHeight="1">
      <c r="J3723" s="4"/>
      <c r="K3723" s="4"/>
    </row>
    <row r="3724" spans="10:11" ht="15.75" customHeight="1">
      <c r="J3724" s="4"/>
      <c r="K3724" s="4"/>
    </row>
    <row r="3725" spans="10:11" ht="15.75" customHeight="1">
      <c r="J3725" s="4"/>
      <c r="K3725" s="4"/>
    </row>
    <row r="3726" spans="10:11" ht="15.75" customHeight="1">
      <c r="J3726" s="4"/>
      <c r="K3726" s="4"/>
    </row>
    <row r="3727" spans="10:11" ht="15.75" customHeight="1">
      <c r="J3727" s="4"/>
      <c r="K3727" s="4"/>
    </row>
    <row r="3728" spans="10:11" ht="15.75" customHeight="1">
      <c r="J3728" s="4"/>
      <c r="K3728" s="4"/>
    </row>
    <row r="3729" spans="10:11" ht="15.75" customHeight="1">
      <c r="J3729" s="4"/>
      <c r="K3729" s="4"/>
    </row>
    <row r="3730" spans="10:11" ht="15.75" customHeight="1">
      <c r="J3730" s="4"/>
      <c r="K3730" s="4"/>
    </row>
    <row r="3731" spans="10:11" ht="15.75" customHeight="1">
      <c r="J3731" s="4"/>
      <c r="K3731" s="4"/>
    </row>
    <row r="3732" spans="10:11" ht="15.75" customHeight="1">
      <c r="J3732" s="4"/>
      <c r="K3732" s="4"/>
    </row>
    <row r="3733" spans="10:11" ht="15.75" customHeight="1">
      <c r="J3733" s="4"/>
      <c r="K3733" s="4"/>
    </row>
    <row r="3734" spans="10:11" ht="15.75" customHeight="1">
      <c r="J3734" s="4"/>
      <c r="K3734" s="4"/>
    </row>
    <row r="3735" spans="10:11" ht="15.75" customHeight="1">
      <c r="J3735" s="4"/>
      <c r="K3735" s="4"/>
    </row>
    <row r="3736" spans="10:11" ht="15.75" customHeight="1">
      <c r="J3736" s="4"/>
      <c r="K3736" s="4"/>
    </row>
    <row r="3737" spans="10:11" ht="15.75" customHeight="1">
      <c r="J3737" s="4"/>
      <c r="K3737" s="4"/>
    </row>
    <row r="3738" spans="10:11" ht="15.75" customHeight="1">
      <c r="J3738" s="4"/>
      <c r="K3738" s="4"/>
    </row>
    <row r="3739" spans="10:11" ht="15.75" customHeight="1">
      <c r="J3739" s="4"/>
      <c r="K3739" s="4"/>
    </row>
    <row r="3740" spans="10:11" ht="15.75" customHeight="1">
      <c r="J3740" s="4"/>
      <c r="K3740" s="4"/>
    </row>
    <row r="3741" spans="10:11" ht="15.75" customHeight="1">
      <c r="J3741" s="4"/>
      <c r="K3741" s="4"/>
    </row>
    <row r="3742" spans="10:11" ht="15.75" customHeight="1">
      <c r="J3742" s="4"/>
      <c r="K3742" s="4"/>
    </row>
    <row r="3743" spans="10:11" ht="15.75" customHeight="1">
      <c r="J3743" s="4"/>
      <c r="K3743" s="4"/>
    </row>
    <row r="3744" spans="10:11" ht="15.75" customHeight="1">
      <c r="J3744" s="4"/>
      <c r="K3744" s="4"/>
    </row>
    <row r="3745" spans="10:11" ht="15.75" customHeight="1">
      <c r="J3745" s="4"/>
      <c r="K3745" s="4"/>
    </row>
    <row r="3746" spans="10:11" ht="15.75" customHeight="1">
      <c r="J3746" s="4"/>
      <c r="K3746" s="4"/>
    </row>
    <row r="3747" spans="10:11" ht="15.75" customHeight="1">
      <c r="J3747" s="4"/>
      <c r="K3747" s="4"/>
    </row>
    <row r="3748" spans="10:11" ht="15.75" customHeight="1">
      <c r="J3748" s="4"/>
      <c r="K3748" s="4"/>
    </row>
    <row r="3749" spans="10:11" ht="15.75" customHeight="1">
      <c r="J3749" s="4"/>
      <c r="K3749" s="4"/>
    </row>
    <row r="3750" spans="10:11" ht="15.75" customHeight="1">
      <c r="J3750" s="4"/>
      <c r="K3750" s="4"/>
    </row>
    <row r="3751" spans="10:11" ht="15.75" customHeight="1">
      <c r="J3751" s="4"/>
      <c r="K3751" s="4"/>
    </row>
    <row r="3752" spans="10:11" ht="15.75" customHeight="1">
      <c r="J3752" s="4"/>
      <c r="K3752" s="4"/>
    </row>
    <row r="3753" spans="10:11" ht="15.75" customHeight="1">
      <c r="J3753" s="4"/>
      <c r="K3753" s="4"/>
    </row>
    <row r="3754" spans="10:11" ht="15.75" customHeight="1">
      <c r="J3754" s="4"/>
      <c r="K3754" s="4"/>
    </row>
    <row r="3755" spans="10:11" ht="15.75" customHeight="1">
      <c r="J3755" s="4"/>
      <c r="K3755" s="4"/>
    </row>
    <row r="3756" spans="10:11" ht="15.75" customHeight="1">
      <c r="J3756" s="4"/>
      <c r="K3756" s="4"/>
    </row>
    <row r="3757" spans="10:11" ht="15.75" customHeight="1">
      <c r="J3757" s="4"/>
      <c r="K3757" s="4"/>
    </row>
    <row r="3758" spans="10:11" ht="15.75" customHeight="1">
      <c r="J3758" s="4"/>
      <c r="K3758" s="4"/>
    </row>
    <row r="3759" spans="10:11" ht="15.75" customHeight="1">
      <c r="J3759" s="4"/>
      <c r="K3759" s="4"/>
    </row>
    <row r="3760" spans="10:11" ht="15.75" customHeight="1">
      <c r="J3760" s="4"/>
      <c r="K3760" s="4"/>
    </row>
    <row r="3761" spans="10:11" ht="15.75" customHeight="1">
      <c r="J3761" s="4"/>
      <c r="K3761" s="4"/>
    </row>
    <row r="3762" spans="10:11" ht="15.75" customHeight="1">
      <c r="J3762" s="4"/>
      <c r="K3762" s="4"/>
    </row>
    <row r="3763" spans="10:11" ht="15.75" customHeight="1">
      <c r="J3763" s="4"/>
      <c r="K3763" s="4"/>
    </row>
    <row r="3764" spans="10:11" ht="15.75" customHeight="1">
      <c r="J3764" s="4"/>
      <c r="K3764" s="4"/>
    </row>
    <row r="3765" spans="10:11" ht="15.75" customHeight="1">
      <c r="J3765" s="4"/>
      <c r="K3765" s="4"/>
    </row>
    <row r="3766" spans="10:11" ht="15.75" customHeight="1">
      <c r="J3766" s="4"/>
      <c r="K3766" s="4"/>
    </row>
    <row r="3767" spans="10:11" ht="15.75" customHeight="1">
      <c r="J3767" s="4"/>
      <c r="K3767" s="4"/>
    </row>
    <row r="3768" spans="10:11" ht="15.75" customHeight="1">
      <c r="J3768" s="4"/>
      <c r="K3768" s="4"/>
    </row>
    <row r="3769" spans="10:11" ht="15.75" customHeight="1">
      <c r="J3769" s="4"/>
      <c r="K3769" s="4"/>
    </row>
    <row r="3770" spans="10:11" ht="15.75" customHeight="1">
      <c r="J3770" s="4"/>
      <c r="K3770" s="4"/>
    </row>
    <row r="3771" spans="10:11" ht="15.75" customHeight="1">
      <c r="J3771" s="4"/>
      <c r="K3771" s="4"/>
    </row>
    <row r="3772" spans="10:11" ht="15.75" customHeight="1">
      <c r="J3772" s="4"/>
      <c r="K3772" s="4"/>
    </row>
    <row r="3773" spans="10:11" ht="15.75" customHeight="1">
      <c r="J3773" s="4"/>
      <c r="K3773" s="4"/>
    </row>
    <row r="3774" spans="10:11" ht="15.75" customHeight="1">
      <c r="J3774" s="4"/>
      <c r="K3774" s="4"/>
    </row>
    <row r="3775" spans="10:11" ht="15.75" customHeight="1">
      <c r="J3775" s="4"/>
      <c r="K3775" s="4"/>
    </row>
    <row r="3776" spans="10:11" ht="15.75" customHeight="1">
      <c r="J3776" s="4"/>
      <c r="K3776" s="4"/>
    </row>
    <row r="3777" spans="10:11" ht="15.75" customHeight="1">
      <c r="J3777" s="4"/>
      <c r="K3777" s="4"/>
    </row>
    <row r="3778" spans="10:11" ht="15.75" customHeight="1">
      <c r="J3778" s="4"/>
      <c r="K3778" s="4"/>
    </row>
    <row r="3779" spans="10:11" ht="15.75" customHeight="1">
      <c r="J3779" s="4"/>
      <c r="K3779" s="4"/>
    </row>
    <row r="3780" spans="10:11" ht="15.75" customHeight="1">
      <c r="J3780" s="4"/>
      <c r="K3780" s="4"/>
    </row>
    <row r="3781" spans="10:11" ht="15.75" customHeight="1">
      <c r="J3781" s="4"/>
      <c r="K3781" s="4"/>
    </row>
    <row r="3782" spans="10:11" ht="15.75" customHeight="1">
      <c r="J3782" s="4"/>
      <c r="K3782" s="4"/>
    </row>
    <row r="3783" spans="10:11" ht="15.75" customHeight="1">
      <c r="J3783" s="4"/>
      <c r="K3783" s="4"/>
    </row>
    <row r="3784" spans="10:11" ht="15.75" customHeight="1">
      <c r="J3784" s="4"/>
      <c r="K3784" s="4"/>
    </row>
    <row r="3785" spans="10:11" ht="15.75" customHeight="1">
      <c r="J3785" s="4"/>
      <c r="K3785" s="4"/>
    </row>
    <row r="3786" spans="10:11" ht="15.75" customHeight="1">
      <c r="J3786" s="4"/>
      <c r="K3786" s="4"/>
    </row>
    <row r="3787" spans="10:11" ht="15.75" customHeight="1">
      <c r="J3787" s="4"/>
      <c r="K3787" s="4"/>
    </row>
    <row r="3788" spans="10:11" ht="15.75" customHeight="1">
      <c r="J3788" s="4"/>
      <c r="K3788" s="4"/>
    </row>
    <row r="3789" spans="10:11" ht="15.75" customHeight="1">
      <c r="J3789" s="4"/>
      <c r="K3789" s="4"/>
    </row>
    <row r="3790" spans="10:11" ht="15.75" customHeight="1">
      <c r="J3790" s="4"/>
      <c r="K3790" s="4"/>
    </row>
    <row r="3791" spans="10:11" ht="15.75" customHeight="1">
      <c r="J3791" s="4"/>
      <c r="K3791" s="4"/>
    </row>
    <row r="3792" spans="10:11" ht="15.75" customHeight="1">
      <c r="J3792" s="4"/>
      <c r="K3792" s="4"/>
    </row>
    <row r="3793" spans="10:11" ht="15.75" customHeight="1">
      <c r="J3793" s="4"/>
      <c r="K3793" s="4"/>
    </row>
    <row r="3794" spans="10:11" ht="15.75" customHeight="1">
      <c r="J3794" s="4"/>
      <c r="K3794" s="4"/>
    </row>
    <row r="3795" spans="10:11" ht="15.75" customHeight="1">
      <c r="J3795" s="4"/>
      <c r="K3795" s="4"/>
    </row>
    <row r="3796" spans="10:11" ht="15.75" customHeight="1">
      <c r="J3796" s="4"/>
      <c r="K3796" s="4"/>
    </row>
    <row r="3797" spans="10:11" ht="15.75" customHeight="1">
      <c r="J3797" s="4"/>
      <c r="K3797" s="4"/>
    </row>
    <row r="3798" spans="10:11" ht="15.75" customHeight="1">
      <c r="J3798" s="4"/>
      <c r="K3798" s="4"/>
    </row>
    <row r="3799" spans="10:11" ht="15.75" customHeight="1">
      <c r="J3799" s="4"/>
      <c r="K3799" s="4"/>
    </row>
    <row r="3800" spans="10:11" ht="15.75" customHeight="1">
      <c r="J3800" s="4"/>
      <c r="K3800" s="4"/>
    </row>
    <row r="3801" spans="10:11" ht="15.75" customHeight="1">
      <c r="J3801" s="4"/>
      <c r="K3801" s="4"/>
    </row>
    <row r="3802" spans="10:11" ht="15.75" customHeight="1">
      <c r="J3802" s="4"/>
      <c r="K3802" s="4"/>
    </row>
    <row r="3803" spans="10:11" ht="15.75" customHeight="1">
      <c r="J3803" s="4"/>
      <c r="K3803" s="4"/>
    </row>
    <row r="3804" spans="10:11" ht="15.75" customHeight="1">
      <c r="J3804" s="4"/>
      <c r="K3804" s="4"/>
    </row>
    <row r="3805" spans="10:11" ht="15.75" customHeight="1">
      <c r="J3805" s="4"/>
      <c r="K3805" s="4"/>
    </row>
    <row r="3806" spans="10:11" ht="15.75" customHeight="1">
      <c r="J3806" s="4"/>
      <c r="K3806" s="4"/>
    </row>
    <row r="3807" spans="10:11" ht="15.75" customHeight="1">
      <c r="J3807" s="4"/>
      <c r="K3807" s="4"/>
    </row>
    <row r="3808" spans="10:11" ht="15.75" customHeight="1">
      <c r="J3808" s="4"/>
      <c r="K3808" s="4"/>
    </row>
    <row r="3809" spans="10:11" ht="15.75" customHeight="1">
      <c r="J3809" s="4"/>
      <c r="K3809" s="4"/>
    </row>
    <row r="3810" spans="10:11" ht="15.75" customHeight="1">
      <c r="J3810" s="4"/>
      <c r="K3810" s="4"/>
    </row>
    <row r="3811" spans="10:11" ht="15.75" customHeight="1">
      <c r="J3811" s="4"/>
      <c r="K3811" s="4"/>
    </row>
    <row r="3812" spans="10:11" ht="15.75" customHeight="1">
      <c r="J3812" s="4"/>
      <c r="K3812" s="4"/>
    </row>
    <row r="3813" spans="10:11" ht="15.75" customHeight="1">
      <c r="J3813" s="4"/>
      <c r="K3813" s="4"/>
    </row>
    <row r="3814" spans="10:11" ht="15.75" customHeight="1">
      <c r="J3814" s="4"/>
      <c r="K3814" s="4"/>
    </row>
    <row r="3815" spans="10:11" ht="15.75" customHeight="1">
      <c r="J3815" s="4"/>
      <c r="K3815" s="4"/>
    </row>
    <row r="3816" spans="10:11" ht="15.75" customHeight="1">
      <c r="J3816" s="4"/>
      <c r="K3816" s="4"/>
    </row>
    <row r="3817" spans="10:11" ht="15.75" customHeight="1">
      <c r="J3817" s="4"/>
      <c r="K3817" s="4"/>
    </row>
    <row r="3818" spans="10:11" ht="15.75" customHeight="1">
      <c r="J3818" s="4"/>
      <c r="K3818" s="4"/>
    </row>
    <row r="3819" spans="10:11" ht="15.75" customHeight="1">
      <c r="J3819" s="4"/>
      <c r="K3819" s="4"/>
    </row>
    <row r="3820" spans="10:11" ht="15.75" customHeight="1">
      <c r="J3820" s="4"/>
      <c r="K3820" s="4"/>
    </row>
    <row r="3821" spans="10:11" ht="15.75" customHeight="1">
      <c r="J3821" s="4"/>
      <c r="K3821" s="4"/>
    </row>
    <row r="3822" spans="10:11" ht="15.75" customHeight="1">
      <c r="J3822" s="4"/>
      <c r="K3822" s="4"/>
    </row>
    <row r="3823" spans="10:11" ht="15.75" customHeight="1">
      <c r="J3823" s="4"/>
      <c r="K3823" s="4"/>
    </row>
    <row r="3824" spans="10:11" ht="15.75" customHeight="1">
      <c r="J3824" s="4"/>
      <c r="K3824" s="4"/>
    </row>
    <row r="3825" spans="10:11" ht="15.75" customHeight="1">
      <c r="J3825" s="4"/>
      <c r="K3825" s="4"/>
    </row>
    <row r="3826" spans="10:11" ht="15.75" customHeight="1">
      <c r="J3826" s="4"/>
      <c r="K3826" s="4"/>
    </row>
    <row r="3827" spans="10:11" ht="15.75" customHeight="1">
      <c r="J3827" s="4"/>
      <c r="K3827" s="4"/>
    </row>
    <row r="3828" spans="10:11" ht="15.75" customHeight="1">
      <c r="J3828" s="4"/>
      <c r="K3828" s="4"/>
    </row>
    <row r="3829" spans="10:11" ht="15.75" customHeight="1">
      <c r="J3829" s="4"/>
      <c r="K3829" s="4"/>
    </row>
    <row r="3830" spans="10:11" ht="15.75" customHeight="1">
      <c r="J3830" s="4"/>
      <c r="K3830" s="4"/>
    </row>
    <row r="3831" spans="10:11" ht="15.75" customHeight="1">
      <c r="J3831" s="4"/>
      <c r="K3831" s="4"/>
    </row>
    <row r="3832" spans="10:11" ht="15.75" customHeight="1">
      <c r="J3832" s="4"/>
      <c r="K3832" s="4"/>
    </row>
    <row r="3833" spans="10:11" ht="15.75" customHeight="1">
      <c r="J3833" s="4"/>
      <c r="K3833" s="4"/>
    </row>
    <row r="3834" spans="10:11" ht="15.75" customHeight="1">
      <c r="J3834" s="4"/>
      <c r="K3834" s="4"/>
    </row>
    <row r="3835" spans="10:11" ht="15.75" customHeight="1">
      <c r="J3835" s="4"/>
      <c r="K3835" s="4"/>
    </row>
    <row r="3836" spans="10:11" ht="15.75" customHeight="1">
      <c r="J3836" s="4"/>
      <c r="K3836" s="4"/>
    </row>
    <row r="3837" spans="10:11" ht="15.75" customHeight="1">
      <c r="J3837" s="4"/>
      <c r="K3837" s="4"/>
    </row>
    <row r="3838" spans="10:11" ht="15.75" customHeight="1">
      <c r="J3838" s="4"/>
      <c r="K3838" s="4"/>
    </row>
    <row r="3839" spans="10:11" ht="15.75" customHeight="1">
      <c r="J3839" s="4"/>
      <c r="K3839" s="4"/>
    </row>
    <row r="3840" spans="10:11" ht="15.75" customHeight="1">
      <c r="J3840" s="4"/>
      <c r="K3840" s="4"/>
    </row>
    <row r="3841" spans="10:11" ht="15.75" customHeight="1">
      <c r="J3841" s="4"/>
      <c r="K3841" s="4"/>
    </row>
    <row r="3842" spans="10:11" ht="15.75" customHeight="1">
      <c r="J3842" s="4"/>
      <c r="K3842" s="4"/>
    </row>
    <row r="3843" spans="10:11" ht="15.75" customHeight="1">
      <c r="J3843" s="4"/>
      <c r="K3843" s="4"/>
    </row>
    <row r="3844" spans="10:11" ht="15.75" customHeight="1">
      <c r="J3844" s="4"/>
      <c r="K3844" s="4"/>
    </row>
    <row r="3845" spans="10:11" ht="15.75" customHeight="1">
      <c r="J3845" s="4"/>
      <c r="K3845" s="4"/>
    </row>
    <row r="3846" spans="10:11" ht="15.75" customHeight="1">
      <c r="J3846" s="4"/>
      <c r="K3846" s="4"/>
    </row>
    <row r="3847" spans="10:11" ht="15.75" customHeight="1">
      <c r="J3847" s="4"/>
      <c r="K3847" s="4"/>
    </row>
    <row r="3848" spans="10:11" ht="15.75" customHeight="1">
      <c r="J3848" s="4"/>
      <c r="K3848" s="4"/>
    </row>
    <row r="3849" spans="10:11" ht="15.75" customHeight="1">
      <c r="J3849" s="4"/>
      <c r="K3849" s="4"/>
    </row>
    <row r="3850" spans="10:11" ht="15.75" customHeight="1">
      <c r="J3850" s="4"/>
      <c r="K3850" s="4"/>
    </row>
    <row r="3851" spans="10:11" ht="15.75" customHeight="1">
      <c r="J3851" s="4"/>
      <c r="K3851" s="4"/>
    </row>
    <row r="3852" spans="10:11" ht="15.75" customHeight="1">
      <c r="J3852" s="4"/>
      <c r="K3852" s="4"/>
    </row>
    <row r="3853" spans="10:11" ht="15.75" customHeight="1">
      <c r="J3853" s="4"/>
      <c r="K3853" s="4"/>
    </row>
    <row r="3854" spans="10:11" ht="15.75" customHeight="1">
      <c r="J3854" s="4"/>
      <c r="K3854" s="4"/>
    </row>
    <row r="3855" spans="10:11" ht="15.75" customHeight="1">
      <c r="J3855" s="4"/>
      <c r="K3855" s="4"/>
    </row>
    <row r="3856" spans="10:11" ht="15.75" customHeight="1">
      <c r="J3856" s="4"/>
      <c r="K3856" s="4"/>
    </row>
    <row r="3857" spans="10:11" ht="15.75" customHeight="1">
      <c r="J3857" s="4"/>
      <c r="K3857" s="4"/>
    </row>
    <row r="3858" spans="10:11" ht="15.75" customHeight="1">
      <c r="J3858" s="4"/>
      <c r="K3858" s="4"/>
    </row>
    <row r="3859" spans="10:11" ht="15.75" customHeight="1">
      <c r="J3859" s="4"/>
      <c r="K3859" s="4"/>
    </row>
    <row r="3860" spans="10:11" ht="15.75" customHeight="1">
      <c r="J3860" s="4"/>
      <c r="K3860" s="4"/>
    </row>
    <row r="3861" spans="10:11" ht="15.75" customHeight="1">
      <c r="J3861" s="4"/>
      <c r="K3861" s="4"/>
    </row>
    <row r="3862" spans="10:11" ht="15.75" customHeight="1">
      <c r="J3862" s="4"/>
      <c r="K3862" s="4"/>
    </row>
    <row r="3863" spans="10:11" ht="15.75" customHeight="1">
      <c r="J3863" s="4"/>
      <c r="K3863" s="4"/>
    </row>
    <row r="3864" spans="10:11" ht="15.75" customHeight="1">
      <c r="J3864" s="4"/>
      <c r="K3864" s="4"/>
    </row>
    <row r="3865" spans="10:11" ht="15.75" customHeight="1">
      <c r="J3865" s="4"/>
      <c r="K3865" s="4"/>
    </row>
    <row r="3866" spans="10:11" ht="15.75" customHeight="1">
      <c r="J3866" s="4"/>
      <c r="K3866" s="4"/>
    </row>
    <row r="3867" spans="10:11" ht="15.75" customHeight="1">
      <c r="J3867" s="4"/>
      <c r="K3867" s="4"/>
    </row>
    <row r="3868" spans="10:11" ht="15.75" customHeight="1">
      <c r="J3868" s="4"/>
      <c r="K3868" s="4"/>
    </row>
    <row r="3869" spans="10:11" ht="15.75" customHeight="1">
      <c r="J3869" s="4"/>
      <c r="K3869" s="4"/>
    </row>
    <row r="3870" spans="10:11" ht="15.75" customHeight="1">
      <c r="J3870" s="4"/>
      <c r="K3870" s="4"/>
    </row>
    <row r="3871" spans="10:11" ht="15.75" customHeight="1">
      <c r="J3871" s="4"/>
      <c r="K3871" s="4"/>
    </row>
    <row r="3872" spans="10:11" ht="15.75" customHeight="1">
      <c r="J3872" s="4"/>
      <c r="K3872" s="4"/>
    </row>
    <row r="3873" spans="10:11" ht="15.75" customHeight="1">
      <c r="J3873" s="4"/>
      <c r="K3873" s="4"/>
    </row>
    <row r="3874" spans="10:11" ht="15.75" customHeight="1">
      <c r="J3874" s="4"/>
      <c r="K3874" s="4"/>
    </row>
    <row r="3875" spans="10:11" ht="15.75" customHeight="1">
      <c r="J3875" s="4"/>
      <c r="K3875" s="4"/>
    </row>
    <row r="3876" spans="10:11" ht="15.75" customHeight="1">
      <c r="J3876" s="4"/>
      <c r="K3876" s="4"/>
    </row>
    <row r="3877" spans="10:11" ht="15.75" customHeight="1">
      <c r="J3877" s="4"/>
      <c r="K3877" s="4"/>
    </row>
    <row r="3878" spans="10:11" ht="15.75" customHeight="1">
      <c r="J3878" s="4"/>
      <c r="K3878" s="4"/>
    </row>
    <row r="3879" spans="10:11" ht="15.75" customHeight="1">
      <c r="J3879" s="4"/>
      <c r="K3879" s="4"/>
    </row>
    <row r="3880" spans="10:11" ht="15.75" customHeight="1">
      <c r="J3880" s="4"/>
      <c r="K3880" s="4"/>
    </row>
    <row r="3881" spans="10:11" ht="15.75" customHeight="1">
      <c r="J3881" s="4"/>
      <c r="K3881" s="4"/>
    </row>
    <row r="3882" spans="10:11" ht="15.75" customHeight="1">
      <c r="J3882" s="4"/>
      <c r="K3882" s="4"/>
    </row>
    <row r="3883" spans="10:11" ht="15.75" customHeight="1">
      <c r="J3883" s="4"/>
      <c r="K3883" s="4"/>
    </row>
    <row r="3884" spans="10:11" ht="15.75" customHeight="1">
      <c r="J3884" s="4"/>
      <c r="K3884" s="4"/>
    </row>
    <row r="3885" spans="10:11" ht="15.75" customHeight="1">
      <c r="J3885" s="4"/>
      <c r="K3885" s="4"/>
    </row>
    <row r="3886" spans="10:11" ht="15.75" customHeight="1">
      <c r="J3886" s="4"/>
      <c r="K3886" s="4"/>
    </row>
    <row r="3887" spans="10:11" ht="15.75" customHeight="1">
      <c r="J3887" s="4"/>
      <c r="K3887" s="4"/>
    </row>
    <row r="3888" spans="10:11" ht="15.75" customHeight="1">
      <c r="J3888" s="4"/>
      <c r="K3888" s="4"/>
    </row>
    <row r="3889" spans="10:11" ht="15.75" customHeight="1">
      <c r="J3889" s="4"/>
      <c r="K3889" s="4"/>
    </row>
    <row r="3890" spans="10:11" ht="15.75" customHeight="1">
      <c r="J3890" s="4"/>
      <c r="K3890" s="4"/>
    </row>
    <row r="3891" spans="10:11" ht="15.75" customHeight="1">
      <c r="J3891" s="4"/>
      <c r="K3891" s="4"/>
    </row>
    <row r="3892" spans="10:11" ht="15.75" customHeight="1">
      <c r="J3892" s="4"/>
      <c r="K3892" s="4"/>
    </row>
    <row r="3893" spans="10:11" ht="15.75" customHeight="1">
      <c r="J3893" s="4"/>
      <c r="K3893" s="4"/>
    </row>
    <row r="3894" spans="10:11" ht="15.75" customHeight="1">
      <c r="J3894" s="4"/>
      <c r="K3894" s="4"/>
    </row>
    <row r="3895" spans="10:11" ht="15.75" customHeight="1">
      <c r="J3895" s="4"/>
      <c r="K3895" s="4"/>
    </row>
    <row r="3896" spans="10:11" ht="15.75" customHeight="1">
      <c r="J3896" s="4"/>
      <c r="K3896" s="4"/>
    </row>
    <row r="3897" spans="10:11" ht="15.75" customHeight="1">
      <c r="J3897" s="4"/>
      <c r="K3897" s="4"/>
    </row>
    <row r="3898" spans="10:11" ht="15.75" customHeight="1">
      <c r="J3898" s="4"/>
      <c r="K3898" s="4"/>
    </row>
    <row r="3899" spans="10:11" ht="15.75" customHeight="1">
      <c r="J3899" s="4"/>
      <c r="K3899" s="4"/>
    </row>
    <row r="3900" spans="10:11" ht="15.75" customHeight="1">
      <c r="J3900" s="4"/>
      <c r="K3900" s="4"/>
    </row>
    <row r="3901" spans="10:11" ht="15.75" customHeight="1">
      <c r="J3901" s="4"/>
      <c r="K3901" s="4"/>
    </row>
    <row r="3902" spans="10:11" ht="15.75" customHeight="1">
      <c r="J3902" s="4"/>
      <c r="K3902" s="4"/>
    </row>
    <row r="3903" spans="10:11" ht="15.75" customHeight="1">
      <c r="J3903" s="4"/>
      <c r="K3903" s="4"/>
    </row>
    <row r="3904" spans="10:11" ht="15.75" customHeight="1">
      <c r="J3904" s="4"/>
      <c r="K3904" s="4"/>
    </row>
    <row r="3905" spans="10:11" ht="15.75" customHeight="1">
      <c r="J3905" s="4"/>
      <c r="K3905" s="4"/>
    </row>
    <row r="3906" spans="10:11" ht="15.75" customHeight="1">
      <c r="J3906" s="4"/>
      <c r="K3906" s="4"/>
    </row>
    <row r="3907" spans="10:11" ht="15.75" customHeight="1">
      <c r="J3907" s="4"/>
      <c r="K3907" s="4"/>
    </row>
    <row r="3908" spans="10:11" ht="15.75" customHeight="1">
      <c r="J3908" s="4"/>
      <c r="K3908" s="4"/>
    </row>
    <row r="3909" spans="10:11" ht="15.75" customHeight="1">
      <c r="J3909" s="4"/>
      <c r="K3909" s="4"/>
    </row>
    <row r="3910" spans="10:11" ht="15.75" customHeight="1">
      <c r="J3910" s="4"/>
      <c r="K3910" s="4"/>
    </row>
    <row r="3911" spans="10:11" ht="15.75" customHeight="1">
      <c r="J3911" s="4"/>
      <c r="K3911" s="4"/>
    </row>
    <row r="3912" spans="10:11" ht="15.75" customHeight="1">
      <c r="J3912" s="4"/>
      <c r="K3912" s="4"/>
    </row>
    <row r="3913" spans="10:11" ht="15.75" customHeight="1">
      <c r="J3913" s="4"/>
      <c r="K3913" s="4"/>
    </row>
    <row r="3914" spans="10:11" ht="15.75" customHeight="1">
      <c r="J3914" s="4"/>
      <c r="K3914" s="4"/>
    </row>
    <row r="3915" spans="10:11" ht="15.75" customHeight="1">
      <c r="J3915" s="4"/>
      <c r="K3915" s="4"/>
    </row>
    <row r="3916" spans="10:11" ht="15.75" customHeight="1">
      <c r="J3916" s="4"/>
      <c r="K3916" s="4"/>
    </row>
    <row r="3917" spans="10:11" ht="15.75" customHeight="1">
      <c r="J3917" s="4"/>
      <c r="K3917" s="4"/>
    </row>
    <row r="3918" spans="10:11" ht="15.75" customHeight="1">
      <c r="J3918" s="4"/>
      <c r="K3918" s="4"/>
    </row>
    <row r="3919" spans="10:11" ht="15.75" customHeight="1">
      <c r="J3919" s="4"/>
      <c r="K3919" s="4"/>
    </row>
    <row r="3920" spans="10:11" ht="15.75" customHeight="1">
      <c r="J3920" s="4"/>
      <c r="K3920" s="4"/>
    </row>
    <row r="3921" spans="10:11" ht="15.75" customHeight="1">
      <c r="J3921" s="4"/>
      <c r="K3921" s="4"/>
    </row>
    <row r="3922" spans="10:11" ht="15.75" customHeight="1">
      <c r="J3922" s="4"/>
      <c r="K3922" s="4"/>
    </row>
    <row r="3923" spans="10:11" ht="15.75" customHeight="1">
      <c r="J3923" s="4"/>
      <c r="K3923" s="4"/>
    </row>
    <row r="3924" spans="10:11" ht="15.75" customHeight="1">
      <c r="J3924" s="4"/>
      <c r="K3924" s="4"/>
    </row>
    <row r="3925" spans="10:11" ht="15.75" customHeight="1">
      <c r="J3925" s="4"/>
      <c r="K3925" s="4"/>
    </row>
    <row r="3926" spans="10:11" ht="15.75" customHeight="1">
      <c r="J3926" s="4"/>
      <c r="K3926" s="4"/>
    </row>
    <row r="3927" spans="10:11" ht="15.75" customHeight="1">
      <c r="J3927" s="4"/>
      <c r="K3927" s="4"/>
    </row>
    <row r="3928" spans="10:11" ht="15.75" customHeight="1">
      <c r="J3928" s="4"/>
      <c r="K3928" s="4"/>
    </row>
    <row r="3929" spans="10:11" ht="15.75" customHeight="1">
      <c r="J3929" s="4"/>
      <c r="K3929" s="4"/>
    </row>
    <row r="3930" spans="10:11" ht="15.75" customHeight="1">
      <c r="J3930" s="4"/>
      <c r="K3930" s="4"/>
    </row>
    <row r="3931" spans="10:11" ht="15.75" customHeight="1">
      <c r="J3931" s="4"/>
      <c r="K3931" s="4"/>
    </row>
    <row r="3932" spans="10:11" ht="15.75" customHeight="1">
      <c r="J3932" s="4"/>
      <c r="K3932" s="4"/>
    </row>
    <row r="3933" spans="10:11" ht="15.75" customHeight="1">
      <c r="J3933" s="4"/>
      <c r="K3933" s="4"/>
    </row>
    <row r="3934" spans="10:11" ht="15.75" customHeight="1">
      <c r="J3934" s="4"/>
      <c r="K3934" s="4"/>
    </row>
    <row r="3935" spans="10:11" ht="15.75" customHeight="1">
      <c r="J3935" s="4"/>
      <c r="K3935" s="4"/>
    </row>
    <row r="3936" spans="10:11" ht="15.75" customHeight="1">
      <c r="J3936" s="4"/>
      <c r="K3936" s="4"/>
    </row>
    <row r="3937" spans="10:11" ht="15.75" customHeight="1">
      <c r="J3937" s="4"/>
      <c r="K3937" s="4"/>
    </row>
    <row r="3938" spans="10:11" ht="15.75" customHeight="1">
      <c r="J3938" s="4"/>
      <c r="K3938" s="4"/>
    </row>
    <row r="3939" spans="10:11" ht="15.75" customHeight="1">
      <c r="J3939" s="4"/>
      <c r="K3939" s="4"/>
    </row>
    <row r="3940" spans="10:11" ht="15.75" customHeight="1">
      <c r="J3940" s="4"/>
      <c r="K3940" s="4"/>
    </row>
    <row r="3941" spans="10:11" ht="15.75" customHeight="1">
      <c r="J3941" s="4"/>
      <c r="K3941" s="4"/>
    </row>
    <row r="3942" spans="10:11" ht="15.75" customHeight="1">
      <c r="J3942" s="4"/>
      <c r="K3942" s="4"/>
    </row>
    <row r="3943" spans="10:11" ht="15.75" customHeight="1">
      <c r="J3943" s="4"/>
      <c r="K3943" s="4"/>
    </row>
    <row r="3944" spans="10:11" ht="15.75" customHeight="1">
      <c r="J3944" s="4"/>
      <c r="K3944" s="4"/>
    </row>
    <row r="3945" spans="10:11" ht="15.75" customHeight="1">
      <c r="J3945" s="4"/>
      <c r="K3945" s="4"/>
    </row>
    <row r="3946" spans="10:11" ht="15.75" customHeight="1">
      <c r="J3946" s="4"/>
      <c r="K3946" s="4"/>
    </row>
    <row r="3947" spans="10:11" ht="15.75" customHeight="1">
      <c r="J3947" s="4"/>
      <c r="K3947" s="4"/>
    </row>
    <row r="3948" spans="10:11" ht="15.75" customHeight="1">
      <c r="J3948" s="4"/>
      <c r="K3948" s="4"/>
    </row>
    <row r="3949" spans="10:11" ht="15.75" customHeight="1">
      <c r="J3949" s="4"/>
      <c r="K3949" s="4"/>
    </row>
    <row r="3950" spans="10:11" ht="15.75" customHeight="1">
      <c r="J3950" s="4"/>
      <c r="K3950" s="4"/>
    </row>
    <row r="3951" spans="10:11" ht="15.75" customHeight="1">
      <c r="J3951" s="4"/>
      <c r="K3951" s="4"/>
    </row>
    <row r="3952" spans="10:11" ht="15.75" customHeight="1">
      <c r="J3952" s="4"/>
      <c r="K3952" s="4"/>
    </row>
    <row r="3953" spans="10:11" ht="15.75" customHeight="1">
      <c r="J3953" s="4"/>
      <c r="K3953" s="4"/>
    </row>
    <row r="3954" spans="10:11" ht="15.75" customHeight="1">
      <c r="J3954" s="4"/>
      <c r="K3954" s="4"/>
    </row>
    <row r="3955" spans="10:11" ht="15.75" customHeight="1">
      <c r="J3955" s="4"/>
      <c r="K3955" s="4"/>
    </row>
    <row r="3956" spans="10:11" ht="15.75" customHeight="1">
      <c r="J3956" s="4"/>
      <c r="K3956" s="4"/>
    </row>
    <row r="3957" spans="10:11" ht="15.75" customHeight="1">
      <c r="J3957" s="4"/>
      <c r="K3957" s="4"/>
    </row>
    <row r="3958" spans="10:11" ht="15.75" customHeight="1">
      <c r="J3958" s="4"/>
      <c r="K3958" s="4"/>
    </row>
    <row r="3959" spans="10:11" ht="15.75" customHeight="1">
      <c r="J3959" s="4"/>
      <c r="K3959" s="4"/>
    </row>
    <row r="3960" spans="10:11" ht="15.75" customHeight="1">
      <c r="J3960" s="4"/>
      <c r="K3960" s="4"/>
    </row>
    <row r="3961" spans="10:11" ht="15.75" customHeight="1">
      <c r="J3961" s="4"/>
      <c r="K3961" s="4"/>
    </row>
    <row r="3962" spans="10:11" ht="15.75" customHeight="1">
      <c r="J3962" s="4"/>
      <c r="K3962" s="4"/>
    </row>
    <row r="3963" spans="10:11" ht="15.75" customHeight="1">
      <c r="J3963" s="4"/>
      <c r="K3963" s="4"/>
    </row>
    <row r="3964" spans="10:11" ht="15.75" customHeight="1">
      <c r="J3964" s="4"/>
      <c r="K3964" s="4"/>
    </row>
    <row r="3965" spans="10:11" ht="15.75" customHeight="1">
      <c r="J3965" s="4"/>
      <c r="K3965" s="4"/>
    </row>
    <row r="3966" spans="10:11" ht="15.75" customHeight="1">
      <c r="J3966" s="4"/>
      <c r="K3966" s="4"/>
    </row>
    <row r="3967" spans="10:11" ht="15.75" customHeight="1">
      <c r="J3967" s="4"/>
      <c r="K3967" s="4"/>
    </row>
    <row r="3968" spans="10:11" ht="15.75" customHeight="1">
      <c r="J3968" s="4"/>
      <c r="K3968" s="4"/>
    </row>
    <row r="3969" spans="10:11" ht="15.75" customHeight="1">
      <c r="J3969" s="4"/>
      <c r="K3969" s="4"/>
    </row>
    <row r="3970" spans="10:11" ht="15.75" customHeight="1">
      <c r="J3970" s="4"/>
      <c r="K3970" s="4"/>
    </row>
    <row r="3971" spans="10:11" ht="15.75" customHeight="1">
      <c r="J3971" s="4"/>
      <c r="K3971" s="4"/>
    </row>
    <row r="3972" spans="10:11" ht="15.75" customHeight="1">
      <c r="J3972" s="4"/>
      <c r="K3972" s="4"/>
    </row>
    <row r="3973" spans="10:11" ht="15.75" customHeight="1">
      <c r="J3973" s="4"/>
      <c r="K3973" s="4"/>
    </row>
    <row r="3974" spans="10:11" ht="15.75" customHeight="1">
      <c r="J3974" s="4"/>
      <c r="K3974" s="4"/>
    </row>
    <row r="3975" spans="10:11" ht="15.75" customHeight="1">
      <c r="J3975" s="4"/>
      <c r="K3975" s="4"/>
    </row>
    <row r="3976" spans="10:11" ht="15.75" customHeight="1">
      <c r="J3976" s="4"/>
      <c r="K3976" s="4"/>
    </row>
    <row r="3977" spans="10:11" ht="15.75" customHeight="1">
      <c r="J3977" s="4"/>
      <c r="K3977" s="4"/>
    </row>
    <row r="3978" spans="10:11" ht="15.75" customHeight="1">
      <c r="J3978" s="4"/>
      <c r="K3978" s="4"/>
    </row>
    <row r="3979" spans="10:11" ht="15.75" customHeight="1">
      <c r="J3979" s="4"/>
      <c r="K3979" s="4"/>
    </row>
    <row r="3980" spans="10:11" ht="15.75" customHeight="1">
      <c r="J3980" s="4"/>
      <c r="K3980" s="4"/>
    </row>
    <row r="3981" spans="10:11" ht="15.75" customHeight="1">
      <c r="J3981" s="4"/>
      <c r="K3981" s="4"/>
    </row>
    <row r="3982" spans="10:11" ht="15.75" customHeight="1">
      <c r="J3982" s="4"/>
      <c r="K3982" s="4"/>
    </row>
    <row r="3983" spans="10:11" ht="15.75" customHeight="1">
      <c r="J3983" s="4"/>
      <c r="K3983" s="4"/>
    </row>
    <row r="3984" spans="10:11" ht="15.75" customHeight="1">
      <c r="J3984" s="4"/>
      <c r="K3984" s="4"/>
    </row>
    <row r="3985" spans="10:11" ht="15.75" customHeight="1">
      <c r="J3985" s="4"/>
      <c r="K3985" s="4"/>
    </row>
    <row r="3986" spans="10:11" ht="15.75" customHeight="1">
      <c r="J3986" s="4"/>
      <c r="K3986" s="4"/>
    </row>
    <row r="3987" spans="10:11" ht="15.75" customHeight="1">
      <c r="J3987" s="4"/>
      <c r="K3987" s="4"/>
    </row>
    <row r="3988" spans="10:11" ht="15.75" customHeight="1">
      <c r="J3988" s="4"/>
      <c r="K3988" s="4"/>
    </row>
    <row r="3989" spans="10:11" ht="15.75" customHeight="1">
      <c r="J3989" s="4"/>
      <c r="K3989" s="4"/>
    </row>
    <row r="3990" spans="10:11" ht="15.75" customHeight="1">
      <c r="J3990" s="4"/>
      <c r="K3990" s="4"/>
    </row>
    <row r="3991" spans="10:11" ht="15.75" customHeight="1">
      <c r="J3991" s="4"/>
      <c r="K3991" s="4"/>
    </row>
    <row r="3992" spans="10:11" ht="15.75" customHeight="1">
      <c r="J3992" s="4"/>
      <c r="K3992" s="4"/>
    </row>
    <row r="3993" spans="10:11" ht="15.75" customHeight="1">
      <c r="J3993" s="4"/>
      <c r="K3993" s="4"/>
    </row>
    <row r="3994" spans="10:11" ht="15.75" customHeight="1">
      <c r="J3994" s="4"/>
      <c r="K3994" s="4"/>
    </row>
    <row r="3995" spans="10:11" ht="15.75" customHeight="1">
      <c r="J3995" s="4"/>
      <c r="K3995" s="4"/>
    </row>
    <row r="3996" spans="10:11" ht="15.75" customHeight="1">
      <c r="J3996" s="4"/>
      <c r="K3996" s="4"/>
    </row>
    <row r="3997" spans="10:11" ht="15.75" customHeight="1">
      <c r="J3997" s="4"/>
      <c r="K3997" s="4"/>
    </row>
    <row r="3998" spans="10:11" ht="15.75" customHeight="1">
      <c r="J3998" s="4"/>
      <c r="K3998" s="4"/>
    </row>
    <row r="3999" spans="10:11" ht="15.75" customHeight="1">
      <c r="J3999" s="4"/>
      <c r="K3999" s="4"/>
    </row>
    <row r="4000" spans="10:11" ht="15.75" customHeight="1">
      <c r="J4000" s="4"/>
      <c r="K4000" s="4"/>
    </row>
    <row r="4001" spans="10:11" ht="15.75" customHeight="1">
      <c r="J4001" s="4"/>
      <c r="K4001" s="4"/>
    </row>
    <row r="4002" spans="10:11" ht="15.75" customHeight="1">
      <c r="J4002" s="4"/>
      <c r="K4002" s="4"/>
    </row>
    <row r="4003" spans="10:11" ht="15.75" customHeight="1">
      <c r="J4003" s="4"/>
      <c r="K4003" s="4"/>
    </row>
    <row r="4004" spans="10:11" ht="15.75" customHeight="1">
      <c r="J4004" s="4"/>
      <c r="K4004" s="4"/>
    </row>
    <row r="4005" spans="10:11" ht="15.75" customHeight="1">
      <c r="J4005" s="4"/>
      <c r="K4005" s="4"/>
    </row>
    <row r="4006" spans="10:11" ht="15.75" customHeight="1">
      <c r="J4006" s="4"/>
      <c r="K4006" s="4"/>
    </row>
    <row r="4007" spans="10:11" ht="15.75" customHeight="1">
      <c r="J4007" s="4"/>
      <c r="K4007" s="4"/>
    </row>
    <row r="4008" spans="10:11" ht="15.75" customHeight="1">
      <c r="J4008" s="4"/>
      <c r="K4008" s="4"/>
    </row>
    <row r="4009" spans="10:11" ht="15.75" customHeight="1">
      <c r="J4009" s="4"/>
      <c r="K4009" s="4"/>
    </row>
    <row r="4010" spans="10:11" ht="15.75" customHeight="1">
      <c r="J4010" s="4"/>
      <c r="K4010" s="4"/>
    </row>
    <row r="4011" spans="10:11" ht="15.75" customHeight="1">
      <c r="J4011" s="4"/>
      <c r="K4011" s="4"/>
    </row>
    <row r="4012" spans="10:11" ht="15.75" customHeight="1">
      <c r="J4012" s="4"/>
      <c r="K4012" s="4"/>
    </row>
    <row r="4013" spans="10:11" ht="15.75" customHeight="1">
      <c r="J4013" s="4"/>
      <c r="K4013" s="4"/>
    </row>
    <row r="4014" spans="10:11" ht="15.75" customHeight="1">
      <c r="J4014" s="4"/>
      <c r="K4014" s="4"/>
    </row>
    <row r="4015" spans="10:11" ht="15.75" customHeight="1">
      <c r="J4015" s="4"/>
      <c r="K4015" s="4"/>
    </row>
    <row r="4016" spans="10:11" ht="15.75" customHeight="1">
      <c r="J4016" s="4"/>
      <c r="K4016" s="4"/>
    </row>
    <row r="4017" spans="10:11" ht="15.75" customHeight="1">
      <c r="J4017" s="4"/>
      <c r="K4017" s="4"/>
    </row>
    <row r="4018" spans="10:11" ht="15.75" customHeight="1">
      <c r="J4018" s="4"/>
      <c r="K4018" s="4"/>
    </row>
    <row r="4019" spans="10:11" ht="15.75" customHeight="1">
      <c r="J4019" s="4"/>
      <c r="K4019" s="4"/>
    </row>
    <row r="4020" spans="10:11" ht="15.75" customHeight="1">
      <c r="J4020" s="4"/>
      <c r="K4020" s="4"/>
    </row>
    <row r="4021" spans="10:11" ht="15.75" customHeight="1">
      <c r="J4021" s="4"/>
      <c r="K4021" s="4"/>
    </row>
    <row r="4022" spans="10:11" ht="15.75" customHeight="1">
      <c r="J4022" s="4"/>
      <c r="K4022" s="4"/>
    </row>
    <row r="4023" spans="10:11" ht="15.75" customHeight="1">
      <c r="J4023" s="4"/>
      <c r="K4023" s="4"/>
    </row>
    <row r="4024" spans="10:11" ht="15.75" customHeight="1">
      <c r="J4024" s="4"/>
      <c r="K4024" s="4"/>
    </row>
    <row r="4025" spans="10:11" ht="15.75" customHeight="1">
      <c r="J4025" s="4"/>
      <c r="K4025" s="4"/>
    </row>
    <row r="4026" spans="10:11" ht="15.75" customHeight="1">
      <c r="J4026" s="4"/>
      <c r="K4026" s="4"/>
    </row>
    <row r="4027" spans="10:11" ht="15.75" customHeight="1">
      <c r="J4027" s="4"/>
      <c r="K4027" s="4"/>
    </row>
    <row r="4028" spans="10:11" ht="15.75" customHeight="1">
      <c r="J4028" s="4"/>
      <c r="K4028" s="4"/>
    </row>
    <row r="4029" spans="10:11" ht="15.75" customHeight="1">
      <c r="J4029" s="4"/>
      <c r="K4029" s="4"/>
    </row>
    <row r="4030" spans="10:11" ht="15.75" customHeight="1">
      <c r="J4030" s="4"/>
      <c r="K4030" s="4"/>
    </row>
    <row r="4031" spans="10:11" ht="15.75" customHeight="1">
      <c r="J4031" s="4"/>
      <c r="K4031" s="4"/>
    </row>
    <row r="4032" spans="10:11" ht="15.75" customHeight="1">
      <c r="J4032" s="4"/>
      <c r="K4032" s="4"/>
    </row>
    <row r="4033" spans="10:11" ht="15.75" customHeight="1">
      <c r="J4033" s="4"/>
      <c r="K4033" s="4"/>
    </row>
    <row r="4034" spans="10:11" ht="15.75" customHeight="1">
      <c r="J4034" s="4"/>
      <c r="K4034" s="4"/>
    </row>
    <row r="4035" spans="10:11" ht="15.75" customHeight="1">
      <c r="J4035" s="4"/>
      <c r="K4035" s="4"/>
    </row>
    <row r="4036" spans="10:11" ht="15.75" customHeight="1">
      <c r="J4036" s="4"/>
      <c r="K4036" s="4"/>
    </row>
    <row r="4037" spans="10:11" ht="15.75" customHeight="1">
      <c r="J4037" s="4"/>
      <c r="K4037" s="4"/>
    </row>
    <row r="4038" spans="10:11" ht="15.75" customHeight="1">
      <c r="J4038" s="4"/>
      <c r="K4038" s="4"/>
    </row>
    <row r="4039" spans="10:11" ht="15.75" customHeight="1">
      <c r="J4039" s="4"/>
      <c r="K4039" s="4"/>
    </row>
    <row r="4040" spans="10:11" ht="15.75" customHeight="1">
      <c r="J4040" s="4"/>
      <c r="K4040" s="4"/>
    </row>
    <row r="4041" spans="10:11" ht="15.75" customHeight="1">
      <c r="J4041" s="4"/>
      <c r="K4041" s="4"/>
    </row>
    <row r="4042" spans="10:11" ht="15.75" customHeight="1">
      <c r="J4042" s="4"/>
      <c r="K4042" s="4"/>
    </row>
    <row r="4043" spans="10:11" ht="15.75" customHeight="1">
      <c r="J4043" s="4"/>
      <c r="K4043" s="4"/>
    </row>
    <row r="4044" spans="10:11" ht="15.75" customHeight="1">
      <c r="J4044" s="4"/>
      <c r="K4044" s="4"/>
    </row>
    <row r="4045" spans="10:11" ht="15.75" customHeight="1">
      <c r="J4045" s="4"/>
      <c r="K4045" s="4"/>
    </row>
    <row r="4046" spans="10:11" ht="15.75" customHeight="1">
      <c r="J4046" s="4"/>
      <c r="K4046" s="4"/>
    </row>
    <row r="4047" spans="10:11" ht="15.75" customHeight="1">
      <c r="J4047" s="4"/>
      <c r="K4047" s="4"/>
    </row>
    <row r="4048" spans="10:11" ht="15.75" customHeight="1">
      <c r="J4048" s="4"/>
      <c r="K4048" s="4"/>
    </row>
    <row r="4049" spans="10:11" ht="15.75" customHeight="1">
      <c r="J4049" s="4"/>
      <c r="K4049" s="4"/>
    </row>
    <row r="4050" spans="10:11" ht="15.75" customHeight="1">
      <c r="J4050" s="4"/>
      <c r="K4050" s="4"/>
    </row>
    <row r="4051" spans="10:11" ht="15.75" customHeight="1">
      <c r="J4051" s="4"/>
      <c r="K4051" s="4"/>
    </row>
    <row r="4052" spans="10:11" ht="15.75" customHeight="1">
      <c r="J4052" s="4"/>
      <c r="K4052" s="4"/>
    </row>
    <row r="4053" spans="10:11" ht="15.75" customHeight="1">
      <c r="J4053" s="4"/>
      <c r="K4053" s="4"/>
    </row>
    <row r="4054" spans="10:11" ht="15.75" customHeight="1">
      <c r="J4054" s="4"/>
      <c r="K4054" s="4"/>
    </row>
    <row r="4055" spans="10:11" ht="15.75" customHeight="1">
      <c r="J4055" s="4"/>
      <c r="K4055" s="4"/>
    </row>
    <row r="4056" spans="10:11" ht="15.75" customHeight="1">
      <c r="J4056" s="4"/>
      <c r="K4056" s="4"/>
    </row>
    <row r="4057" spans="10:11" ht="15.75" customHeight="1">
      <c r="J4057" s="4"/>
      <c r="K4057" s="4"/>
    </row>
    <row r="4058" spans="10:11" ht="15.75" customHeight="1">
      <c r="J4058" s="4"/>
      <c r="K4058" s="4"/>
    </row>
    <row r="4059" spans="10:11" ht="15.75" customHeight="1">
      <c r="J4059" s="4"/>
      <c r="K4059" s="4"/>
    </row>
    <row r="4060" spans="10:11" ht="15.75" customHeight="1">
      <c r="J4060" s="4"/>
      <c r="K4060" s="4"/>
    </row>
    <row r="4061" spans="10:11" ht="15.75" customHeight="1">
      <c r="J4061" s="4"/>
      <c r="K4061" s="4"/>
    </row>
    <row r="4062" spans="10:11" ht="15.75" customHeight="1">
      <c r="J4062" s="4"/>
      <c r="K4062" s="4"/>
    </row>
    <row r="4063" spans="10:11" ht="15.75" customHeight="1">
      <c r="J4063" s="4"/>
      <c r="K4063" s="4"/>
    </row>
    <row r="4064" spans="10:11" ht="15.75" customHeight="1">
      <c r="J4064" s="4"/>
      <c r="K4064" s="4"/>
    </row>
    <row r="4065" spans="10:11" ht="15.75" customHeight="1">
      <c r="J4065" s="4"/>
      <c r="K4065" s="4"/>
    </row>
    <row r="4066" spans="10:11" ht="15.75" customHeight="1">
      <c r="J4066" s="4"/>
      <c r="K4066" s="4"/>
    </row>
    <row r="4067" spans="10:11" ht="15.75" customHeight="1">
      <c r="J4067" s="4"/>
      <c r="K4067" s="4"/>
    </row>
    <row r="4068" spans="10:11" ht="15.75" customHeight="1">
      <c r="J4068" s="4"/>
      <c r="K4068" s="4"/>
    </row>
    <row r="4069" spans="10:11" ht="15.75" customHeight="1">
      <c r="J4069" s="4"/>
      <c r="K4069" s="4"/>
    </row>
    <row r="4070" spans="10:11" ht="15.75" customHeight="1">
      <c r="J4070" s="4"/>
      <c r="K4070" s="4"/>
    </row>
    <row r="4071" spans="10:11" ht="15.75" customHeight="1">
      <c r="J4071" s="4"/>
      <c r="K4071" s="4"/>
    </row>
    <row r="4072" spans="10:11" ht="15.75" customHeight="1">
      <c r="J4072" s="4"/>
      <c r="K4072" s="4"/>
    </row>
    <row r="4073" spans="10:11" ht="15.75" customHeight="1">
      <c r="J4073" s="4"/>
      <c r="K4073" s="4"/>
    </row>
    <row r="4074" spans="10:11" ht="15.75" customHeight="1">
      <c r="J4074" s="4"/>
      <c r="K4074" s="4"/>
    </row>
    <row r="4075" spans="10:11" ht="15.75" customHeight="1">
      <c r="J4075" s="4"/>
      <c r="K4075" s="4"/>
    </row>
    <row r="4076" spans="10:11" ht="15.75" customHeight="1">
      <c r="J4076" s="4"/>
      <c r="K4076" s="4"/>
    </row>
    <row r="4077" spans="10:11" ht="15.75" customHeight="1">
      <c r="J4077" s="4"/>
      <c r="K4077" s="4"/>
    </row>
    <row r="4078" spans="10:11" ht="15.75" customHeight="1">
      <c r="J4078" s="4"/>
      <c r="K4078" s="4"/>
    </row>
    <row r="4079" spans="10:11" ht="15.75" customHeight="1">
      <c r="J4079" s="4"/>
      <c r="K4079" s="4"/>
    </row>
    <row r="4080" spans="10:11" ht="15.75" customHeight="1">
      <c r="J4080" s="4"/>
      <c r="K4080" s="4"/>
    </row>
    <row r="4081" spans="10:11" ht="15.75" customHeight="1">
      <c r="J4081" s="4"/>
      <c r="K4081" s="4"/>
    </row>
    <row r="4082" spans="10:11" ht="15.75" customHeight="1">
      <c r="J4082" s="4"/>
      <c r="K4082" s="4"/>
    </row>
    <row r="4083" spans="10:11" ht="15.75" customHeight="1">
      <c r="J4083" s="4"/>
      <c r="K4083" s="4"/>
    </row>
    <row r="4084" spans="10:11" ht="15.75" customHeight="1">
      <c r="J4084" s="4"/>
      <c r="K4084" s="4"/>
    </row>
    <row r="4085" spans="10:11" ht="15.75" customHeight="1">
      <c r="J4085" s="4"/>
      <c r="K4085" s="4"/>
    </row>
    <row r="4086" spans="10:11" ht="15.75" customHeight="1">
      <c r="J4086" s="4"/>
      <c r="K4086" s="4"/>
    </row>
    <row r="4087" spans="10:11" ht="15.75" customHeight="1">
      <c r="J4087" s="4"/>
      <c r="K4087" s="4"/>
    </row>
    <row r="4088" spans="10:11" ht="15.75" customHeight="1">
      <c r="J4088" s="4"/>
      <c r="K4088" s="4"/>
    </row>
    <row r="4089" spans="10:11" ht="15.75" customHeight="1">
      <c r="J4089" s="4"/>
      <c r="K4089" s="4"/>
    </row>
    <row r="4090" spans="10:11" ht="15.75" customHeight="1">
      <c r="J4090" s="4"/>
      <c r="K4090" s="4"/>
    </row>
    <row r="4091" spans="10:11" ht="15.75" customHeight="1">
      <c r="J4091" s="4"/>
      <c r="K4091" s="4"/>
    </row>
    <row r="4092" spans="10:11" ht="15.75" customHeight="1">
      <c r="J4092" s="4"/>
      <c r="K4092" s="4"/>
    </row>
    <row r="4093" spans="10:11" ht="15.75" customHeight="1">
      <c r="J4093" s="4"/>
      <c r="K4093" s="4"/>
    </row>
    <row r="4094" spans="10:11" ht="15.75" customHeight="1">
      <c r="J4094" s="4"/>
      <c r="K4094" s="4"/>
    </row>
    <row r="4095" spans="10:11" ht="15.75" customHeight="1">
      <c r="J4095" s="4"/>
      <c r="K4095" s="4"/>
    </row>
    <row r="4096" spans="10:11" ht="15.75" customHeight="1">
      <c r="J4096" s="4"/>
      <c r="K4096" s="4"/>
    </row>
    <row r="4097" spans="10:11" ht="15.75" customHeight="1">
      <c r="J4097" s="4"/>
      <c r="K4097" s="4"/>
    </row>
    <row r="4098" spans="10:11" ht="15.75" customHeight="1">
      <c r="J4098" s="4"/>
      <c r="K4098" s="4"/>
    </row>
    <row r="4099" spans="10:11" ht="15.75" customHeight="1">
      <c r="J4099" s="4"/>
      <c r="K4099" s="4"/>
    </row>
    <row r="4100" spans="10:11" ht="15.75" customHeight="1">
      <c r="J4100" s="4"/>
      <c r="K4100" s="4"/>
    </row>
    <row r="4101" spans="10:11" ht="15.75" customHeight="1">
      <c r="J4101" s="4"/>
      <c r="K4101" s="4"/>
    </row>
    <row r="4102" spans="10:11" ht="15.75" customHeight="1">
      <c r="J4102" s="4"/>
      <c r="K4102" s="4"/>
    </row>
    <row r="4103" spans="10:11" ht="15.75" customHeight="1">
      <c r="J4103" s="4"/>
      <c r="K4103" s="4"/>
    </row>
    <row r="4104" spans="10:11" ht="15.75" customHeight="1">
      <c r="J4104" s="4"/>
      <c r="K4104" s="4"/>
    </row>
    <row r="4105" spans="10:11" ht="15.75" customHeight="1">
      <c r="J4105" s="4"/>
      <c r="K4105" s="4"/>
    </row>
    <row r="4106" spans="10:11" ht="15.75" customHeight="1">
      <c r="J4106" s="4"/>
      <c r="K4106" s="4"/>
    </row>
    <row r="4107" spans="10:11" ht="15.75" customHeight="1">
      <c r="J4107" s="4"/>
      <c r="K4107" s="4"/>
    </row>
    <row r="4108" spans="10:11" ht="15.75" customHeight="1">
      <c r="J4108" s="4"/>
      <c r="K4108" s="4"/>
    </row>
    <row r="4109" spans="10:11" ht="15.75" customHeight="1">
      <c r="J4109" s="4"/>
      <c r="K4109" s="4"/>
    </row>
    <row r="4110" spans="10:11" ht="15.75" customHeight="1">
      <c r="J4110" s="4"/>
      <c r="K4110" s="4"/>
    </row>
    <row r="4111" spans="10:11" ht="15.75" customHeight="1">
      <c r="J4111" s="4"/>
      <c r="K4111" s="4"/>
    </row>
    <row r="4112" spans="10:11" ht="15.75" customHeight="1">
      <c r="J4112" s="4"/>
      <c r="K4112" s="4"/>
    </row>
    <row r="4113" spans="10:11" ht="15.75" customHeight="1">
      <c r="J4113" s="4"/>
      <c r="K4113" s="4"/>
    </row>
    <row r="4114" spans="10:11" ht="15.75" customHeight="1">
      <c r="J4114" s="4"/>
      <c r="K4114" s="4"/>
    </row>
    <row r="4115" spans="10:11" ht="15.75" customHeight="1">
      <c r="J4115" s="4"/>
      <c r="K4115" s="4"/>
    </row>
    <row r="4116" spans="10:11" ht="15.75" customHeight="1">
      <c r="J4116" s="4"/>
      <c r="K4116" s="4"/>
    </row>
    <row r="4117" spans="10:11" ht="15.75" customHeight="1">
      <c r="J4117" s="4"/>
      <c r="K4117" s="4"/>
    </row>
    <row r="4118" spans="10:11" ht="15.75" customHeight="1">
      <c r="J4118" s="4"/>
      <c r="K4118" s="4"/>
    </row>
    <row r="4119" spans="10:11" ht="15.75" customHeight="1">
      <c r="J4119" s="4"/>
      <c r="K4119" s="4"/>
    </row>
    <row r="4120" spans="10:11" ht="15.75" customHeight="1">
      <c r="J4120" s="4"/>
      <c r="K4120" s="4"/>
    </row>
    <row r="4121" spans="10:11" ht="15.75" customHeight="1">
      <c r="J4121" s="4"/>
      <c r="K4121" s="4"/>
    </row>
    <row r="4122" spans="10:11" ht="15.75" customHeight="1">
      <c r="J4122" s="4"/>
      <c r="K4122" s="4"/>
    </row>
    <row r="4123" spans="10:11" ht="15.75" customHeight="1">
      <c r="J4123" s="4"/>
      <c r="K4123" s="4"/>
    </row>
    <row r="4124" spans="10:11" ht="15.75" customHeight="1">
      <c r="J4124" s="4"/>
      <c r="K4124" s="4"/>
    </row>
    <row r="4125" spans="10:11" ht="15.75" customHeight="1">
      <c r="J4125" s="4"/>
      <c r="K4125" s="4"/>
    </row>
    <row r="4126" spans="10:11" ht="15.75" customHeight="1">
      <c r="J4126" s="4"/>
      <c r="K4126" s="4"/>
    </row>
    <row r="4127" spans="10:11" ht="15.75" customHeight="1">
      <c r="J4127" s="4"/>
      <c r="K4127" s="4"/>
    </row>
    <row r="4128" spans="10:11" ht="15.75" customHeight="1">
      <c r="J4128" s="4"/>
      <c r="K4128" s="4"/>
    </row>
    <row r="4129" spans="10:11" ht="15.75" customHeight="1">
      <c r="J4129" s="4"/>
      <c r="K4129" s="4"/>
    </row>
    <row r="4130" spans="10:11" ht="15.75" customHeight="1">
      <c r="J4130" s="4"/>
      <c r="K4130" s="4"/>
    </row>
    <row r="4131" spans="10:11" ht="15.75" customHeight="1">
      <c r="J4131" s="4"/>
      <c r="K4131" s="4"/>
    </row>
    <row r="4132" spans="10:11" ht="15.75" customHeight="1">
      <c r="J4132" s="4"/>
      <c r="K4132" s="4"/>
    </row>
    <row r="4133" spans="10:11" ht="15.75" customHeight="1">
      <c r="J4133" s="4"/>
      <c r="K4133" s="4"/>
    </row>
    <row r="4134" spans="10:11" ht="15.75" customHeight="1">
      <c r="J4134" s="4"/>
      <c r="K4134" s="4"/>
    </row>
    <row r="4135" spans="10:11" ht="15.75" customHeight="1">
      <c r="J4135" s="4"/>
      <c r="K4135" s="4"/>
    </row>
    <row r="4136" spans="10:11" ht="15.75" customHeight="1">
      <c r="J4136" s="4"/>
      <c r="K4136" s="4"/>
    </row>
    <row r="4137" spans="10:11" ht="15.75" customHeight="1">
      <c r="J4137" s="4"/>
      <c r="K4137" s="4"/>
    </row>
    <row r="4138" spans="10:11" ht="15.75" customHeight="1">
      <c r="J4138" s="4"/>
      <c r="K4138" s="4"/>
    </row>
    <row r="4139" spans="10:11" ht="15.75" customHeight="1">
      <c r="J4139" s="4"/>
      <c r="K4139" s="4"/>
    </row>
    <row r="4140" spans="10:11" ht="15.75" customHeight="1">
      <c r="J4140" s="4"/>
      <c r="K4140" s="4"/>
    </row>
    <row r="4141" spans="10:11" ht="15.75" customHeight="1">
      <c r="J4141" s="4"/>
      <c r="K4141" s="4"/>
    </row>
    <row r="4142" spans="10:11" ht="15.75" customHeight="1">
      <c r="J4142" s="4"/>
      <c r="K4142" s="4"/>
    </row>
    <row r="4143" spans="10:11" ht="15.75" customHeight="1">
      <c r="J4143" s="4"/>
      <c r="K4143" s="4"/>
    </row>
    <row r="4144" spans="10:11" ht="15.75" customHeight="1">
      <c r="J4144" s="4"/>
      <c r="K4144" s="4"/>
    </row>
    <row r="4145" spans="10:11" ht="15.75" customHeight="1">
      <c r="J4145" s="4"/>
      <c r="K4145" s="4"/>
    </row>
    <row r="4146" spans="10:11" ht="15.75" customHeight="1">
      <c r="J4146" s="4"/>
      <c r="K4146" s="4"/>
    </row>
    <row r="4147" spans="10:11" ht="15.75" customHeight="1">
      <c r="J4147" s="4"/>
      <c r="K4147" s="4"/>
    </row>
    <row r="4148" spans="10:11" ht="15.75" customHeight="1">
      <c r="J4148" s="4"/>
      <c r="K4148" s="4"/>
    </row>
    <row r="4149" spans="10:11" ht="15.75" customHeight="1">
      <c r="J4149" s="4"/>
      <c r="K4149" s="4"/>
    </row>
    <row r="4150" spans="10:11" ht="15.75" customHeight="1">
      <c r="J4150" s="4"/>
      <c r="K4150" s="4"/>
    </row>
    <row r="4151" spans="10:11" ht="15.75" customHeight="1">
      <c r="J4151" s="4"/>
      <c r="K4151" s="4"/>
    </row>
    <row r="4152" spans="10:11" ht="15.75" customHeight="1">
      <c r="J4152" s="4"/>
      <c r="K4152" s="4"/>
    </row>
    <row r="4153" spans="10:11" ht="15.75" customHeight="1">
      <c r="J4153" s="4"/>
      <c r="K4153" s="4"/>
    </row>
    <row r="4154" spans="10:11" ht="15.75" customHeight="1">
      <c r="J4154" s="4"/>
      <c r="K4154" s="4"/>
    </row>
    <row r="4155" spans="10:11" ht="15.75" customHeight="1">
      <c r="J4155" s="4"/>
      <c r="K4155" s="4"/>
    </row>
    <row r="4156" spans="10:11" ht="15.75" customHeight="1">
      <c r="J4156" s="4"/>
      <c r="K4156" s="4"/>
    </row>
    <row r="4157" spans="10:11" ht="15.75" customHeight="1">
      <c r="J4157" s="4"/>
      <c r="K4157" s="4"/>
    </row>
    <row r="4158" spans="10:11" ht="15.75" customHeight="1">
      <c r="J4158" s="4"/>
      <c r="K4158" s="4"/>
    </row>
    <row r="4159" spans="10:11" ht="15.75" customHeight="1">
      <c r="J4159" s="4"/>
      <c r="K4159" s="4"/>
    </row>
    <row r="4160" spans="10:11" ht="15.75" customHeight="1">
      <c r="J4160" s="4"/>
      <c r="K4160" s="4"/>
    </row>
    <row r="4161" spans="10:11" ht="15.75" customHeight="1">
      <c r="J4161" s="4"/>
      <c r="K4161" s="4"/>
    </row>
    <row r="4162" spans="10:11" ht="15.75" customHeight="1">
      <c r="J4162" s="4"/>
      <c r="K4162" s="4"/>
    </row>
    <row r="4163" spans="10:11" ht="15.75" customHeight="1">
      <c r="J4163" s="4"/>
      <c r="K4163" s="4"/>
    </row>
    <row r="4164" spans="10:11" ht="15.75" customHeight="1">
      <c r="J4164" s="4"/>
      <c r="K4164" s="4"/>
    </row>
    <row r="4165" spans="10:11" ht="15.75" customHeight="1">
      <c r="J4165" s="4"/>
      <c r="K4165" s="4"/>
    </row>
    <row r="4166" spans="10:11" ht="15.75" customHeight="1">
      <c r="J4166" s="4"/>
      <c r="K4166" s="4"/>
    </row>
    <row r="4167" spans="10:11" ht="15.75" customHeight="1">
      <c r="J4167" s="4"/>
      <c r="K4167" s="4"/>
    </row>
    <row r="4168" spans="10:11" ht="15.75" customHeight="1">
      <c r="J4168" s="4"/>
      <c r="K4168" s="4"/>
    </row>
    <row r="4169" spans="10:11" ht="15.75" customHeight="1">
      <c r="J4169" s="4"/>
      <c r="K4169" s="4"/>
    </row>
    <row r="4170" spans="10:11" ht="15.75" customHeight="1">
      <c r="J4170" s="4"/>
      <c r="K4170" s="4"/>
    </row>
    <row r="4171" spans="10:11" ht="15.75" customHeight="1">
      <c r="J4171" s="4"/>
      <c r="K4171" s="4"/>
    </row>
    <row r="4172" spans="10:11" ht="15.75" customHeight="1">
      <c r="J4172" s="4"/>
      <c r="K4172" s="4"/>
    </row>
    <row r="4173" spans="10:11" ht="15.75" customHeight="1">
      <c r="J4173" s="4"/>
      <c r="K4173" s="4"/>
    </row>
    <row r="4174" spans="10:11" ht="15.75" customHeight="1">
      <c r="J4174" s="4"/>
      <c r="K4174" s="4"/>
    </row>
    <row r="4175" spans="10:11" ht="15.75" customHeight="1">
      <c r="J4175" s="4"/>
      <c r="K4175" s="4"/>
    </row>
    <row r="4176" spans="10:11" ht="15.75" customHeight="1">
      <c r="J4176" s="4"/>
      <c r="K4176" s="4"/>
    </row>
    <row r="4177" spans="10:11" ht="15.75" customHeight="1">
      <c r="J4177" s="4"/>
      <c r="K4177" s="4"/>
    </row>
    <row r="4178" spans="10:11" ht="15.75" customHeight="1">
      <c r="J4178" s="4"/>
      <c r="K4178" s="4"/>
    </row>
    <row r="4179" spans="10:11" ht="15.75" customHeight="1">
      <c r="J4179" s="4"/>
      <c r="K4179" s="4"/>
    </row>
    <row r="4180" spans="10:11" ht="15.75" customHeight="1">
      <c r="J4180" s="4"/>
      <c r="K4180" s="4"/>
    </row>
    <row r="4181" spans="10:11" ht="15.75" customHeight="1">
      <c r="J4181" s="4"/>
      <c r="K4181" s="4"/>
    </row>
    <row r="4182" spans="10:11" ht="15.75" customHeight="1">
      <c r="J4182" s="4"/>
      <c r="K4182" s="4"/>
    </row>
    <row r="4183" spans="10:11" ht="15.75" customHeight="1">
      <c r="J4183" s="4"/>
      <c r="K4183" s="4"/>
    </row>
    <row r="4184" spans="10:11" ht="15.75" customHeight="1">
      <c r="J4184" s="4"/>
      <c r="K4184" s="4"/>
    </row>
    <row r="4185" spans="10:11" ht="15.75" customHeight="1">
      <c r="J4185" s="4"/>
      <c r="K4185" s="4"/>
    </row>
    <row r="4186" spans="10:11" ht="15.75" customHeight="1">
      <c r="J4186" s="4"/>
      <c r="K4186" s="4"/>
    </row>
    <row r="4187" spans="10:11" ht="15.75" customHeight="1">
      <c r="J4187" s="4"/>
      <c r="K4187" s="4"/>
    </row>
    <row r="4188" spans="10:11" ht="15.75" customHeight="1">
      <c r="J4188" s="4"/>
      <c r="K4188" s="4"/>
    </row>
    <row r="4189" spans="10:11" ht="15.75" customHeight="1">
      <c r="J4189" s="4"/>
      <c r="K4189" s="4"/>
    </row>
    <row r="4190" spans="10:11" ht="15.75" customHeight="1">
      <c r="J4190" s="4"/>
      <c r="K4190" s="4"/>
    </row>
    <row r="4191" spans="10:11" ht="15.75" customHeight="1">
      <c r="J4191" s="4"/>
      <c r="K4191" s="4"/>
    </row>
    <row r="4192" spans="10:11" ht="15.75" customHeight="1">
      <c r="J4192" s="4"/>
      <c r="K4192" s="4"/>
    </row>
    <row r="4193" spans="10:11" ht="15.75" customHeight="1">
      <c r="J4193" s="4"/>
      <c r="K4193" s="4"/>
    </row>
    <row r="4194" spans="10:11" ht="15.75" customHeight="1">
      <c r="J4194" s="4"/>
      <c r="K4194" s="4"/>
    </row>
    <row r="4195" spans="10:11" ht="15.75" customHeight="1">
      <c r="J4195" s="4"/>
      <c r="K4195" s="4"/>
    </row>
    <row r="4196" spans="10:11" ht="15.75" customHeight="1">
      <c r="J4196" s="4"/>
      <c r="K4196" s="4"/>
    </row>
    <row r="4197" spans="10:11" ht="15.75" customHeight="1">
      <c r="J4197" s="4"/>
      <c r="K4197" s="4"/>
    </row>
    <row r="4198" spans="10:11" ht="15.75" customHeight="1">
      <c r="J4198" s="4"/>
      <c r="K4198" s="4"/>
    </row>
    <row r="4199" spans="10:11" ht="15.75" customHeight="1">
      <c r="J4199" s="4"/>
      <c r="K4199" s="4"/>
    </row>
    <row r="4200" spans="10:11" ht="15.75" customHeight="1">
      <c r="J4200" s="4"/>
      <c r="K4200" s="4"/>
    </row>
    <row r="4201" spans="10:11" ht="15.75" customHeight="1">
      <c r="J4201" s="4"/>
      <c r="K4201" s="4"/>
    </row>
    <row r="4202" spans="10:11" ht="15.75" customHeight="1">
      <c r="J4202" s="4"/>
      <c r="K4202" s="4"/>
    </row>
    <row r="4203" spans="10:11" ht="15.75" customHeight="1">
      <c r="J4203" s="4"/>
      <c r="K4203" s="4"/>
    </row>
    <row r="4204" spans="10:11" ht="15.75" customHeight="1">
      <c r="J4204" s="4"/>
      <c r="K4204" s="4"/>
    </row>
    <row r="4205" spans="10:11" ht="15.75" customHeight="1">
      <c r="J4205" s="4"/>
      <c r="K4205" s="4"/>
    </row>
    <row r="4206" spans="10:11" ht="15.75" customHeight="1">
      <c r="J4206" s="4"/>
      <c r="K4206" s="4"/>
    </row>
    <row r="4207" spans="10:11" ht="15.75" customHeight="1">
      <c r="J4207" s="4"/>
      <c r="K4207" s="4"/>
    </row>
    <row r="4208" spans="10:11" ht="15.75" customHeight="1">
      <c r="J4208" s="4"/>
      <c r="K4208" s="4"/>
    </row>
    <row r="4209" spans="10:11" ht="15.75" customHeight="1">
      <c r="J4209" s="4"/>
      <c r="K4209" s="4"/>
    </row>
    <row r="4210" spans="10:11" ht="15.75" customHeight="1">
      <c r="J4210" s="4"/>
      <c r="K4210" s="4"/>
    </row>
    <row r="4211" spans="10:11" ht="15.75" customHeight="1">
      <c r="J4211" s="4"/>
      <c r="K4211" s="4"/>
    </row>
    <row r="4212" spans="10:11" ht="15.75" customHeight="1">
      <c r="J4212" s="4"/>
      <c r="K4212" s="4"/>
    </row>
    <row r="4213" spans="10:11" ht="15.75" customHeight="1">
      <c r="J4213" s="4"/>
      <c r="K4213" s="4"/>
    </row>
    <row r="4214" spans="10:11" ht="15.75" customHeight="1">
      <c r="J4214" s="4"/>
      <c r="K4214" s="4"/>
    </row>
    <row r="4215" spans="10:11" ht="15.75" customHeight="1">
      <c r="J4215" s="4"/>
      <c r="K4215" s="4"/>
    </row>
    <row r="4216" spans="10:11" ht="15.75" customHeight="1">
      <c r="J4216" s="4"/>
      <c r="K4216" s="4"/>
    </row>
    <row r="4217" spans="10:11" ht="15.75" customHeight="1">
      <c r="J4217" s="4"/>
      <c r="K4217" s="4"/>
    </row>
    <row r="4218" spans="10:11" ht="15.75" customHeight="1">
      <c r="J4218" s="4"/>
      <c r="K4218" s="4"/>
    </row>
    <row r="4219" spans="10:11" ht="15.75" customHeight="1">
      <c r="J4219" s="4"/>
      <c r="K4219" s="4"/>
    </row>
    <row r="4220" spans="10:11" ht="15.75" customHeight="1">
      <c r="J4220" s="4"/>
      <c r="K4220" s="4"/>
    </row>
    <row r="4221" spans="10:11" ht="15.75" customHeight="1">
      <c r="J4221" s="4"/>
      <c r="K4221" s="4"/>
    </row>
    <row r="4222" spans="10:11" ht="15.75" customHeight="1">
      <c r="J4222" s="4"/>
      <c r="K4222" s="4"/>
    </row>
    <row r="4223" spans="10:11" ht="15.75" customHeight="1">
      <c r="J4223" s="4"/>
      <c r="K4223" s="4"/>
    </row>
    <row r="4224" spans="10:11" ht="15.75" customHeight="1">
      <c r="J4224" s="4"/>
      <c r="K4224" s="4"/>
    </row>
    <row r="4225" spans="10:11" ht="15.75" customHeight="1">
      <c r="J4225" s="4"/>
      <c r="K4225" s="4"/>
    </row>
    <row r="4226" spans="10:11" ht="15.75" customHeight="1">
      <c r="J4226" s="4"/>
      <c r="K4226" s="4"/>
    </row>
    <row r="4227" spans="10:11" ht="15.75" customHeight="1">
      <c r="J4227" s="4"/>
      <c r="K4227" s="4"/>
    </row>
    <row r="4228" spans="10:11" ht="15.75" customHeight="1">
      <c r="J4228" s="4"/>
      <c r="K4228" s="4"/>
    </row>
    <row r="4229" spans="10:11" ht="15.75" customHeight="1">
      <c r="J4229" s="4"/>
      <c r="K4229" s="4"/>
    </row>
    <row r="4230" spans="10:11" ht="15.75" customHeight="1">
      <c r="J4230" s="4"/>
      <c r="K4230" s="4"/>
    </row>
    <row r="4231" spans="10:11" ht="15.75" customHeight="1">
      <c r="J4231" s="4"/>
      <c r="K4231" s="4"/>
    </row>
    <row r="4232" spans="10:11" ht="15.75" customHeight="1">
      <c r="J4232" s="4"/>
      <c r="K4232" s="4"/>
    </row>
    <row r="4233" spans="10:11" ht="15.75" customHeight="1">
      <c r="J4233" s="4"/>
      <c r="K4233" s="4"/>
    </row>
    <row r="4234" spans="10:11" ht="15.75" customHeight="1">
      <c r="J4234" s="4"/>
      <c r="K4234" s="4"/>
    </row>
    <row r="4235" spans="10:11" ht="15.75" customHeight="1">
      <c r="J4235" s="4"/>
      <c r="K4235" s="4"/>
    </row>
    <row r="4236" spans="10:11" ht="15.75" customHeight="1">
      <c r="J4236" s="4"/>
      <c r="K4236" s="4"/>
    </row>
    <row r="4237" spans="10:11" ht="15.75" customHeight="1">
      <c r="J4237" s="4"/>
      <c r="K4237" s="4"/>
    </row>
    <row r="4238" spans="10:11" ht="15.75" customHeight="1">
      <c r="J4238" s="4"/>
      <c r="K4238" s="4"/>
    </row>
    <row r="4239" spans="10:11" ht="15.75" customHeight="1">
      <c r="J4239" s="4"/>
      <c r="K4239" s="4"/>
    </row>
    <row r="4240" spans="10:11" ht="15.75" customHeight="1">
      <c r="J4240" s="4"/>
      <c r="K4240" s="4"/>
    </row>
    <row r="4241" spans="10:11" ht="15.75" customHeight="1">
      <c r="J4241" s="4"/>
      <c r="K4241" s="4"/>
    </row>
    <row r="4242" spans="10:11" ht="15.75" customHeight="1">
      <c r="J4242" s="4"/>
      <c r="K4242" s="4"/>
    </row>
    <row r="4243" spans="10:11" ht="15.75" customHeight="1">
      <c r="J4243" s="4"/>
      <c r="K4243" s="4"/>
    </row>
    <row r="4244" spans="10:11" ht="15.75" customHeight="1">
      <c r="J4244" s="4"/>
      <c r="K4244" s="4"/>
    </row>
    <row r="4245" spans="10:11" ht="15.75" customHeight="1">
      <c r="J4245" s="4"/>
      <c r="K4245" s="4"/>
    </row>
    <row r="4246" spans="10:11" ht="15.75" customHeight="1">
      <c r="J4246" s="4"/>
      <c r="K4246" s="4"/>
    </row>
    <row r="4247" spans="10:11" ht="15.75" customHeight="1">
      <c r="J4247" s="4"/>
      <c r="K4247" s="4"/>
    </row>
    <row r="4248" spans="10:11" ht="15.75" customHeight="1">
      <c r="J4248" s="4"/>
      <c r="K4248" s="4"/>
    </row>
    <row r="4249" spans="10:11" ht="15.75" customHeight="1">
      <c r="J4249" s="4"/>
      <c r="K4249" s="4"/>
    </row>
    <row r="4250" spans="10:11" ht="15.75" customHeight="1">
      <c r="J4250" s="4"/>
      <c r="K4250" s="4"/>
    </row>
    <row r="4251" spans="10:11" ht="15.75" customHeight="1">
      <c r="J4251" s="4"/>
      <c r="K4251" s="4"/>
    </row>
    <row r="4252" spans="10:11" ht="15.75" customHeight="1">
      <c r="J4252" s="4"/>
      <c r="K4252" s="4"/>
    </row>
    <row r="4253" spans="10:11" ht="15.75" customHeight="1">
      <c r="J4253" s="4"/>
      <c r="K4253" s="4"/>
    </row>
    <row r="4254" spans="10:11" ht="15.75" customHeight="1">
      <c r="J4254" s="4"/>
      <c r="K4254" s="4"/>
    </row>
    <row r="4255" spans="10:11" ht="15.75" customHeight="1">
      <c r="J4255" s="4"/>
      <c r="K4255" s="4"/>
    </row>
    <row r="4256" spans="10:11" ht="15.75" customHeight="1">
      <c r="J4256" s="4"/>
      <c r="K4256" s="4"/>
    </row>
    <row r="4257" spans="10:11" ht="15.75" customHeight="1">
      <c r="J4257" s="4"/>
      <c r="K4257" s="4"/>
    </row>
    <row r="4258" spans="10:11" ht="15.75" customHeight="1">
      <c r="J4258" s="4"/>
      <c r="K4258" s="4"/>
    </row>
    <row r="4259" spans="10:11" ht="15.75" customHeight="1">
      <c r="J4259" s="4"/>
      <c r="K4259" s="4"/>
    </row>
    <row r="4260" spans="10:11" ht="15.75" customHeight="1">
      <c r="J4260" s="4"/>
      <c r="K4260" s="4"/>
    </row>
    <row r="4261" spans="10:11" ht="15.75" customHeight="1">
      <c r="J4261" s="4"/>
      <c r="K4261" s="4"/>
    </row>
    <row r="4262" spans="10:11" ht="15.75" customHeight="1">
      <c r="J4262" s="4"/>
      <c r="K4262" s="4"/>
    </row>
    <row r="4263" spans="10:11" ht="15.75" customHeight="1">
      <c r="J4263" s="4"/>
      <c r="K4263" s="4"/>
    </row>
    <row r="4264" spans="10:11" ht="15.75" customHeight="1">
      <c r="J4264" s="4"/>
      <c r="K4264" s="4"/>
    </row>
    <row r="4265" spans="10:11" ht="15.75" customHeight="1">
      <c r="J4265" s="4"/>
      <c r="K4265" s="4"/>
    </row>
    <row r="4266" spans="10:11" ht="15.75" customHeight="1">
      <c r="J4266" s="4"/>
      <c r="K4266" s="4"/>
    </row>
    <row r="4267" spans="10:11" ht="15.75" customHeight="1">
      <c r="J4267" s="4"/>
      <c r="K4267" s="4"/>
    </row>
    <row r="4268" spans="10:11" ht="15.75" customHeight="1">
      <c r="J4268" s="4"/>
      <c r="K4268" s="4"/>
    </row>
    <row r="4269" spans="10:11" ht="15.75" customHeight="1">
      <c r="J4269" s="4"/>
      <c r="K4269" s="4"/>
    </row>
    <row r="4270" spans="10:11" ht="15.75" customHeight="1">
      <c r="J4270" s="4"/>
      <c r="K4270" s="4"/>
    </row>
    <row r="4271" spans="10:11" ht="15.75" customHeight="1">
      <c r="J4271" s="4"/>
      <c r="K4271" s="4"/>
    </row>
    <row r="4272" spans="10:11" ht="15.75" customHeight="1">
      <c r="J4272" s="4"/>
      <c r="K4272" s="4"/>
    </row>
    <row r="4273" spans="10:11" ht="15.75" customHeight="1">
      <c r="J4273" s="4"/>
      <c r="K4273" s="4"/>
    </row>
    <row r="4274" spans="10:11" ht="15.75" customHeight="1">
      <c r="J4274" s="4"/>
      <c r="K4274" s="4"/>
    </row>
    <row r="4275" spans="10:11" ht="15.75" customHeight="1">
      <c r="J4275" s="4"/>
      <c r="K4275" s="4"/>
    </row>
    <row r="4276" spans="10:11" ht="15.75" customHeight="1">
      <c r="J4276" s="4"/>
      <c r="K4276" s="4"/>
    </row>
    <row r="4277" spans="10:11" ht="15.75" customHeight="1">
      <c r="J4277" s="4"/>
      <c r="K4277" s="4"/>
    </row>
    <row r="4278" spans="10:11" ht="15.75" customHeight="1">
      <c r="J4278" s="4"/>
      <c r="K4278" s="4"/>
    </row>
    <row r="4279" spans="10:11" ht="15.75" customHeight="1">
      <c r="J4279" s="4"/>
      <c r="K4279" s="4"/>
    </row>
    <row r="4280" spans="10:11" ht="15.75" customHeight="1">
      <c r="J4280" s="4"/>
      <c r="K4280" s="4"/>
    </row>
    <row r="4281" spans="10:11" ht="15.75" customHeight="1">
      <c r="J4281" s="4"/>
      <c r="K4281" s="4"/>
    </row>
    <row r="4282" spans="10:11" ht="15.75" customHeight="1">
      <c r="J4282" s="4"/>
      <c r="K4282" s="4"/>
    </row>
    <row r="4283" spans="10:11" ht="15.75" customHeight="1">
      <c r="J4283" s="4"/>
      <c r="K4283" s="4"/>
    </row>
    <row r="4284" spans="10:11" ht="15.75" customHeight="1">
      <c r="J4284" s="4"/>
      <c r="K4284" s="4"/>
    </row>
    <row r="4285" spans="10:11" ht="15.75" customHeight="1">
      <c r="J4285" s="4"/>
      <c r="K4285" s="4"/>
    </row>
    <row r="4286" spans="10:11" ht="15.75" customHeight="1">
      <c r="J4286" s="4"/>
      <c r="K4286" s="4"/>
    </row>
    <row r="4287" spans="10:11" ht="15.75" customHeight="1">
      <c r="J4287" s="4"/>
      <c r="K4287" s="4"/>
    </row>
    <row r="4288" spans="10:11" ht="15.75" customHeight="1">
      <c r="J4288" s="4"/>
      <c r="K4288" s="4"/>
    </row>
    <row r="4289" spans="10:11" ht="15.75" customHeight="1">
      <c r="J4289" s="4"/>
      <c r="K4289" s="4"/>
    </row>
    <row r="4290" spans="10:11" ht="15.75" customHeight="1">
      <c r="J4290" s="4"/>
      <c r="K4290" s="4"/>
    </row>
    <row r="4291" spans="10:11" ht="15.75" customHeight="1">
      <c r="J4291" s="4"/>
      <c r="K4291" s="4"/>
    </row>
    <row r="4292" spans="10:11" ht="15.75" customHeight="1">
      <c r="J4292" s="4"/>
      <c r="K4292" s="4"/>
    </row>
    <row r="4293" spans="10:11" ht="15.75" customHeight="1">
      <c r="J4293" s="4"/>
      <c r="K4293" s="4"/>
    </row>
    <row r="4294" spans="10:11" ht="15.75" customHeight="1">
      <c r="J4294" s="4"/>
      <c r="K4294" s="4"/>
    </row>
    <row r="4295" spans="10:11" ht="15.75" customHeight="1">
      <c r="J4295" s="4"/>
      <c r="K4295" s="4"/>
    </row>
    <row r="4296" spans="10:11" ht="15.75" customHeight="1">
      <c r="J4296" s="4"/>
      <c r="K4296" s="4"/>
    </row>
    <row r="4297" spans="10:11" ht="15.75" customHeight="1">
      <c r="J4297" s="4"/>
      <c r="K4297" s="4"/>
    </row>
    <row r="4298" spans="10:11" ht="15.75" customHeight="1">
      <c r="J4298" s="4"/>
      <c r="K4298" s="4"/>
    </row>
    <row r="4299" spans="10:11" ht="15.75" customHeight="1">
      <c r="J4299" s="4"/>
      <c r="K4299" s="4"/>
    </row>
    <row r="4300" spans="10:11" ht="15.75" customHeight="1">
      <c r="J4300" s="4"/>
      <c r="K4300" s="4"/>
    </row>
    <row r="4301" spans="10:11" ht="15.75" customHeight="1">
      <c r="J4301" s="4"/>
      <c r="K4301" s="4"/>
    </row>
    <row r="4302" spans="10:11" ht="15.75" customHeight="1">
      <c r="J4302" s="4"/>
      <c r="K4302" s="4"/>
    </row>
    <row r="4303" spans="10:11" ht="15.75" customHeight="1">
      <c r="J4303" s="4"/>
      <c r="K4303" s="4"/>
    </row>
    <row r="4304" spans="10:11" ht="15.75" customHeight="1">
      <c r="J4304" s="4"/>
      <c r="K4304" s="4"/>
    </row>
    <row r="4305" spans="10:11" ht="15.75" customHeight="1">
      <c r="J4305" s="4"/>
      <c r="K4305" s="4"/>
    </row>
    <row r="4306" spans="10:11" ht="15.75" customHeight="1">
      <c r="J4306" s="4"/>
      <c r="K4306" s="4"/>
    </row>
    <row r="4307" spans="10:11" ht="15.75" customHeight="1">
      <c r="J4307" s="4"/>
      <c r="K4307" s="4"/>
    </row>
    <row r="4308" spans="10:11" ht="15.75" customHeight="1">
      <c r="J4308" s="4"/>
      <c r="K4308" s="4"/>
    </row>
    <row r="4309" spans="10:11" ht="15.75" customHeight="1">
      <c r="J4309" s="4"/>
      <c r="K4309" s="4"/>
    </row>
    <row r="4310" spans="10:11" ht="15.75" customHeight="1">
      <c r="J4310" s="4"/>
      <c r="K4310" s="4"/>
    </row>
    <row r="4311" spans="10:11" ht="15.75" customHeight="1">
      <c r="J4311" s="4"/>
      <c r="K4311" s="4"/>
    </row>
    <row r="4312" spans="10:11" ht="15.75" customHeight="1">
      <c r="J4312" s="4"/>
      <c r="K4312" s="4"/>
    </row>
    <row r="4313" spans="10:11" ht="15.75" customHeight="1">
      <c r="J4313" s="4"/>
      <c r="K4313" s="4"/>
    </row>
    <row r="4314" spans="10:11" ht="15.75" customHeight="1">
      <c r="J4314" s="4"/>
      <c r="K4314" s="4"/>
    </row>
    <row r="4315" spans="10:11" ht="15.75" customHeight="1">
      <c r="J4315" s="4"/>
      <c r="K4315" s="4"/>
    </row>
    <row r="4316" spans="10:11" ht="15.75" customHeight="1">
      <c r="J4316" s="4"/>
      <c r="K4316" s="4"/>
    </row>
    <row r="4317" spans="10:11" ht="15.75" customHeight="1">
      <c r="J4317" s="4"/>
      <c r="K4317" s="4"/>
    </row>
    <row r="4318" spans="10:11" ht="15.75" customHeight="1">
      <c r="J4318" s="4"/>
      <c r="K4318" s="4"/>
    </row>
    <row r="4319" spans="10:11" ht="15.75" customHeight="1">
      <c r="J4319" s="4"/>
      <c r="K4319" s="4"/>
    </row>
    <row r="4320" spans="10:11" ht="15.75" customHeight="1">
      <c r="J4320" s="4"/>
      <c r="K4320" s="4"/>
    </row>
    <row r="4321" spans="10:11" ht="15.75" customHeight="1">
      <c r="J4321" s="4"/>
      <c r="K4321" s="4"/>
    </row>
    <row r="4322" spans="10:11" ht="15.75" customHeight="1">
      <c r="J4322" s="4"/>
      <c r="K4322" s="4"/>
    </row>
    <row r="4323" spans="10:11" ht="15.75" customHeight="1">
      <c r="J4323" s="4"/>
      <c r="K4323" s="4"/>
    </row>
    <row r="4324" spans="10:11" ht="15.75" customHeight="1">
      <c r="J4324" s="4"/>
      <c r="K4324" s="4"/>
    </row>
    <row r="4325" spans="10:11" ht="15.75" customHeight="1">
      <c r="J4325" s="4"/>
      <c r="K4325" s="4"/>
    </row>
    <row r="4326" spans="10:11" ht="15.75" customHeight="1">
      <c r="J4326" s="4"/>
      <c r="K4326" s="4"/>
    </row>
    <row r="4327" spans="10:11" ht="15.75" customHeight="1">
      <c r="J4327" s="4"/>
      <c r="K4327" s="4"/>
    </row>
    <row r="4328" spans="10:11" ht="15.75" customHeight="1">
      <c r="J4328" s="4"/>
      <c r="K4328" s="4"/>
    </row>
    <row r="4329" spans="10:11" ht="15.75" customHeight="1">
      <c r="J4329" s="4"/>
      <c r="K4329" s="4"/>
    </row>
    <row r="4330" spans="10:11" ht="15.75" customHeight="1">
      <c r="J4330" s="4"/>
      <c r="K4330" s="4"/>
    </row>
    <row r="4331" spans="10:11" ht="15.75" customHeight="1">
      <c r="J4331" s="4"/>
      <c r="K4331" s="4"/>
    </row>
    <row r="4332" spans="10:11" ht="15.75" customHeight="1">
      <c r="J4332" s="4"/>
      <c r="K4332" s="4"/>
    </row>
    <row r="4333" spans="10:11" ht="15.75" customHeight="1">
      <c r="J4333" s="4"/>
      <c r="K4333" s="4"/>
    </row>
    <row r="4334" spans="10:11" ht="15.75" customHeight="1">
      <c r="J4334" s="4"/>
      <c r="K4334" s="4"/>
    </row>
    <row r="4335" spans="10:11" ht="15.75" customHeight="1">
      <c r="J4335" s="4"/>
      <c r="K4335" s="4"/>
    </row>
    <row r="4336" spans="10:11" ht="15.75" customHeight="1">
      <c r="J4336" s="4"/>
      <c r="K4336" s="4"/>
    </row>
    <row r="4337" spans="10:11" ht="15.75" customHeight="1">
      <c r="J4337" s="4"/>
      <c r="K4337" s="4"/>
    </row>
    <row r="4338" spans="10:11" ht="15.75" customHeight="1">
      <c r="J4338" s="4"/>
      <c r="K4338" s="4"/>
    </row>
    <row r="4339" spans="10:11" ht="15.75" customHeight="1">
      <c r="J4339" s="4"/>
      <c r="K4339" s="4"/>
    </row>
    <row r="4340" spans="10:11" ht="15.75" customHeight="1">
      <c r="J4340" s="4"/>
      <c r="K4340" s="4"/>
    </row>
    <row r="4341" spans="10:11" ht="15.75" customHeight="1">
      <c r="J4341" s="4"/>
      <c r="K4341" s="4"/>
    </row>
    <row r="4342" spans="10:11" ht="15.75" customHeight="1">
      <c r="J4342" s="4"/>
      <c r="K4342" s="4"/>
    </row>
    <row r="4343" spans="10:11" ht="15.75" customHeight="1">
      <c r="J4343" s="4"/>
      <c r="K4343" s="4"/>
    </row>
    <row r="4344" spans="10:11" ht="15.75" customHeight="1">
      <c r="J4344" s="4"/>
      <c r="K4344" s="4"/>
    </row>
    <row r="4345" spans="10:11" ht="15.75" customHeight="1">
      <c r="J4345" s="4"/>
      <c r="K4345" s="4"/>
    </row>
    <row r="4346" spans="10:11" ht="15.75" customHeight="1">
      <c r="J4346" s="4"/>
      <c r="K4346" s="4"/>
    </row>
    <row r="4347" spans="10:11" ht="15.75" customHeight="1">
      <c r="J4347" s="4"/>
      <c r="K4347" s="4"/>
    </row>
    <row r="4348" spans="10:11" ht="15.75" customHeight="1">
      <c r="J4348" s="4"/>
      <c r="K4348" s="4"/>
    </row>
    <row r="4349" spans="10:11" ht="15.75" customHeight="1">
      <c r="J4349" s="4"/>
      <c r="K4349" s="4"/>
    </row>
    <row r="4350" spans="10:11" ht="15.75" customHeight="1">
      <c r="J4350" s="4"/>
      <c r="K4350" s="4"/>
    </row>
    <row r="4351" spans="10:11" ht="15.75" customHeight="1">
      <c r="J4351" s="4"/>
      <c r="K4351" s="4"/>
    </row>
    <row r="4352" spans="10:11" ht="15.75" customHeight="1">
      <c r="J4352" s="4"/>
      <c r="K4352" s="4"/>
    </row>
    <row r="4353" spans="10:11" ht="15.75" customHeight="1">
      <c r="J4353" s="4"/>
      <c r="K4353" s="4"/>
    </row>
    <row r="4354" spans="10:11" ht="15.75" customHeight="1">
      <c r="J4354" s="4"/>
      <c r="K4354" s="4"/>
    </row>
    <row r="4355" spans="10:11" ht="15.75" customHeight="1">
      <c r="J4355" s="4"/>
      <c r="K4355" s="4"/>
    </row>
    <row r="4356" spans="10:11" ht="15.75" customHeight="1">
      <c r="J4356" s="4"/>
      <c r="K4356" s="4"/>
    </row>
    <row r="4357" spans="10:11" ht="15.75" customHeight="1">
      <c r="J4357" s="4"/>
      <c r="K4357" s="4"/>
    </row>
    <row r="4358" spans="10:11" ht="15.75" customHeight="1">
      <c r="J4358" s="4"/>
      <c r="K4358" s="4"/>
    </row>
    <row r="4359" spans="10:11" ht="15.75" customHeight="1">
      <c r="J4359" s="4"/>
      <c r="K4359" s="4"/>
    </row>
    <row r="4360" spans="10:11" ht="15.75" customHeight="1">
      <c r="J4360" s="4"/>
      <c r="K4360" s="4"/>
    </row>
    <row r="4361" spans="10:11" ht="15.75" customHeight="1">
      <c r="J4361" s="4"/>
      <c r="K4361" s="4"/>
    </row>
    <row r="4362" spans="10:11" ht="15.75" customHeight="1">
      <c r="J4362" s="4"/>
      <c r="K4362" s="4"/>
    </row>
    <row r="4363" spans="10:11" ht="15.75" customHeight="1">
      <c r="J4363" s="4"/>
      <c r="K4363" s="4"/>
    </row>
    <row r="4364" spans="10:11" ht="15.75" customHeight="1">
      <c r="J4364" s="4"/>
      <c r="K4364" s="4"/>
    </row>
    <row r="4365" spans="10:11" ht="15.75" customHeight="1">
      <c r="J4365" s="4"/>
      <c r="K4365" s="4"/>
    </row>
    <row r="4366" spans="10:11" ht="15.75" customHeight="1">
      <c r="J4366" s="4"/>
      <c r="K4366" s="4"/>
    </row>
    <row r="4367" spans="10:11" ht="15.75" customHeight="1">
      <c r="J4367" s="4"/>
      <c r="K4367" s="4"/>
    </row>
    <row r="4368" spans="10:11" ht="15.75" customHeight="1">
      <c r="J4368" s="4"/>
      <c r="K4368" s="4"/>
    </row>
    <row r="4369" spans="10:11" ht="15.75" customHeight="1">
      <c r="J4369" s="4"/>
      <c r="K4369" s="4"/>
    </row>
    <row r="4370" spans="10:11" ht="15.75" customHeight="1">
      <c r="J4370" s="4"/>
      <c r="K4370" s="4"/>
    </row>
    <row r="4371" spans="10:11" ht="15.75" customHeight="1">
      <c r="J4371" s="4"/>
      <c r="K4371" s="4"/>
    </row>
    <row r="4372" spans="10:11" ht="15.75" customHeight="1">
      <c r="J4372" s="4"/>
      <c r="K4372" s="4"/>
    </row>
    <row r="4373" spans="10:11" ht="15.75" customHeight="1">
      <c r="J4373" s="4"/>
      <c r="K4373" s="4"/>
    </row>
    <row r="4374" spans="10:11" ht="15.75" customHeight="1">
      <c r="J4374" s="4"/>
      <c r="K4374" s="4"/>
    </row>
    <row r="4375" spans="10:11" ht="15.75" customHeight="1">
      <c r="J4375" s="4"/>
      <c r="K4375" s="4"/>
    </row>
    <row r="4376" spans="10:11" ht="15.75" customHeight="1">
      <c r="J4376" s="4"/>
      <c r="K4376" s="4"/>
    </row>
    <row r="4377" spans="10:11" ht="15.75" customHeight="1">
      <c r="J4377" s="4"/>
      <c r="K4377" s="4"/>
    </row>
    <row r="4378" spans="10:11" ht="15.75" customHeight="1">
      <c r="J4378" s="4"/>
      <c r="K4378" s="4"/>
    </row>
    <row r="4379" spans="10:11" ht="15.75" customHeight="1">
      <c r="J4379" s="4"/>
      <c r="K4379" s="4"/>
    </row>
    <row r="4380" spans="10:11" ht="15.75" customHeight="1">
      <c r="J4380" s="4"/>
      <c r="K4380" s="4"/>
    </row>
    <row r="4381" spans="10:11" ht="15.75" customHeight="1">
      <c r="J4381" s="4"/>
      <c r="K4381" s="4"/>
    </row>
    <row r="4382" spans="10:11" ht="15.75" customHeight="1">
      <c r="J4382" s="4"/>
      <c r="K4382" s="4"/>
    </row>
    <row r="4383" spans="10:11" ht="15.75" customHeight="1">
      <c r="J4383" s="4"/>
      <c r="K4383" s="4"/>
    </row>
    <row r="4384" spans="10:11" ht="15.75" customHeight="1">
      <c r="J4384" s="4"/>
      <c r="K4384" s="4"/>
    </row>
    <row r="4385" spans="10:11" ht="15.75" customHeight="1">
      <c r="J4385" s="4"/>
      <c r="K4385" s="4"/>
    </row>
    <row r="4386" spans="10:11" ht="15.75" customHeight="1">
      <c r="J4386" s="4"/>
      <c r="K4386" s="4"/>
    </row>
    <row r="4387" spans="10:11" ht="15.75" customHeight="1">
      <c r="J4387" s="4"/>
      <c r="K4387" s="4"/>
    </row>
    <row r="4388" spans="10:11" ht="15.75" customHeight="1">
      <c r="J4388" s="4"/>
      <c r="K4388" s="4"/>
    </row>
    <row r="4389" spans="10:11" ht="15.75" customHeight="1">
      <c r="J4389" s="4"/>
      <c r="K4389" s="4"/>
    </row>
    <row r="4390" spans="10:11" ht="15.75" customHeight="1">
      <c r="J4390" s="4"/>
      <c r="K4390" s="4"/>
    </row>
    <row r="4391" spans="10:11" ht="15.75" customHeight="1">
      <c r="J4391" s="4"/>
      <c r="K4391" s="4"/>
    </row>
    <row r="4392" spans="10:11" ht="15.75" customHeight="1">
      <c r="J4392" s="4"/>
      <c r="K4392" s="4"/>
    </row>
    <row r="4393" spans="10:11" ht="15.75" customHeight="1">
      <c r="J4393" s="4"/>
      <c r="K4393" s="4"/>
    </row>
    <row r="4394" spans="10:11" ht="15.75" customHeight="1">
      <c r="J4394" s="4"/>
      <c r="K4394" s="4"/>
    </row>
    <row r="4395" spans="10:11" ht="15.75" customHeight="1">
      <c r="J4395" s="4"/>
      <c r="K4395" s="4"/>
    </row>
    <row r="4396" spans="10:11" ht="15.75" customHeight="1">
      <c r="J4396" s="4"/>
      <c r="K4396" s="4"/>
    </row>
    <row r="4397" spans="10:11" ht="15.75" customHeight="1">
      <c r="J4397" s="4"/>
      <c r="K4397" s="4"/>
    </row>
    <row r="4398" spans="10:11" ht="15.75" customHeight="1">
      <c r="J4398" s="4"/>
      <c r="K4398" s="4"/>
    </row>
    <row r="4399" spans="10:11" ht="15.75" customHeight="1">
      <c r="J4399" s="4"/>
      <c r="K4399" s="4"/>
    </row>
    <row r="4400" spans="10:11" ht="15.75" customHeight="1">
      <c r="J4400" s="4"/>
      <c r="K4400" s="4"/>
    </row>
    <row r="4401" spans="10:11" ht="15.75" customHeight="1">
      <c r="J4401" s="4"/>
      <c r="K4401" s="4"/>
    </row>
    <row r="4402" spans="10:11" ht="15.75" customHeight="1">
      <c r="J4402" s="4"/>
      <c r="K4402" s="4"/>
    </row>
    <row r="4403" spans="10:11" ht="15.75" customHeight="1">
      <c r="J4403" s="4"/>
      <c r="K4403" s="4"/>
    </row>
    <row r="4404" spans="10:11" ht="15.75" customHeight="1">
      <c r="J4404" s="4"/>
      <c r="K4404" s="4"/>
    </row>
    <row r="4405" spans="10:11" ht="15.75" customHeight="1">
      <c r="J4405" s="4"/>
      <c r="K4405" s="4"/>
    </row>
    <row r="4406" spans="10:11" ht="15.75" customHeight="1">
      <c r="J4406" s="4"/>
      <c r="K4406" s="4"/>
    </row>
    <row r="4407" spans="10:11" ht="15.75" customHeight="1">
      <c r="J4407" s="4"/>
      <c r="K4407" s="4"/>
    </row>
    <row r="4408" spans="10:11" ht="15.75" customHeight="1">
      <c r="J4408" s="4"/>
      <c r="K4408" s="4"/>
    </row>
    <row r="4409" spans="10:11" ht="15.75" customHeight="1">
      <c r="J4409" s="4"/>
      <c r="K4409" s="4"/>
    </row>
    <row r="4410" spans="10:11" ht="15.75" customHeight="1">
      <c r="J4410" s="4"/>
      <c r="K4410" s="4"/>
    </row>
    <row r="4411" spans="10:11" ht="15.75" customHeight="1">
      <c r="J4411" s="4"/>
      <c r="K4411" s="4"/>
    </row>
    <row r="4412" spans="10:11" ht="15.75" customHeight="1">
      <c r="J4412" s="4"/>
      <c r="K4412" s="4"/>
    </row>
    <row r="4413" spans="10:11" ht="15.75" customHeight="1">
      <c r="J4413" s="4"/>
      <c r="K4413" s="4"/>
    </row>
    <row r="4414" spans="10:11" ht="15.75" customHeight="1">
      <c r="J4414" s="4"/>
      <c r="K4414" s="4"/>
    </row>
    <row r="4415" spans="10:11" ht="15.75" customHeight="1">
      <c r="J4415" s="4"/>
      <c r="K4415" s="4"/>
    </row>
    <row r="4416" spans="10:11" ht="15.75" customHeight="1">
      <c r="J4416" s="4"/>
      <c r="K4416" s="4"/>
    </row>
    <row r="4417" spans="10:11" ht="15.75" customHeight="1">
      <c r="J4417" s="4"/>
      <c r="K4417" s="4"/>
    </row>
    <row r="4418" spans="10:11" ht="15.75" customHeight="1">
      <c r="J4418" s="4"/>
      <c r="K4418" s="4"/>
    </row>
    <row r="4419" spans="10:11" ht="15.75" customHeight="1">
      <c r="J4419" s="4"/>
      <c r="K4419" s="4"/>
    </row>
    <row r="4420" spans="10:11" ht="15.75" customHeight="1">
      <c r="J4420" s="4"/>
      <c r="K4420" s="4"/>
    </row>
    <row r="4421" spans="10:11" ht="15.75" customHeight="1">
      <c r="J4421" s="4"/>
      <c r="K4421" s="4"/>
    </row>
    <row r="4422" spans="10:11" ht="15.75" customHeight="1">
      <c r="J4422" s="4"/>
      <c r="K4422" s="4"/>
    </row>
    <row r="4423" spans="10:11" ht="15.75" customHeight="1">
      <c r="J4423" s="4"/>
      <c r="K4423" s="4"/>
    </row>
    <row r="4424" spans="10:11" ht="15.75" customHeight="1">
      <c r="J4424" s="4"/>
      <c r="K4424" s="4"/>
    </row>
    <row r="4425" spans="10:11" ht="15.75" customHeight="1">
      <c r="J4425" s="4"/>
      <c r="K4425" s="4"/>
    </row>
    <row r="4426" spans="10:11" ht="15.75" customHeight="1">
      <c r="J4426" s="4"/>
      <c r="K4426" s="4"/>
    </row>
    <row r="4427" spans="10:11" ht="15.75" customHeight="1">
      <c r="J4427" s="4"/>
      <c r="K4427" s="4"/>
    </row>
    <row r="4428" spans="10:11" ht="15.75" customHeight="1">
      <c r="J4428" s="4"/>
      <c r="K4428" s="4"/>
    </row>
    <row r="4429" spans="10:11" ht="15.75" customHeight="1">
      <c r="J4429" s="4"/>
      <c r="K4429" s="4"/>
    </row>
    <row r="4430" spans="10:11" ht="15.75" customHeight="1">
      <c r="J4430" s="4"/>
      <c r="K4430" s="4"/>
    </row>
    <row r="4431" spans="10:11" ht="15.75" customHeight="1">
      <c r="J4431" s="4"/>
      <c r="K4431" s="4"/>
    </row>
    <row r="4432" spans="10:11" ht="15.75" customHeight="1">
      <c r="J4432" s="4"/>
      <c r="K4432" s="4"/>
    </row>
    <row r="4433" spans="10:11" ht="15.75" customHeight="1">
      <c r="J4433" s="4"/>
      <c r="K4433" s="4"/>
    </row>
    <row r="4434" spans="10:11" ht="15.75" customHeight="1">
      <c r="J4434" s="4"/>
      <c r="K4434" s="4"/>
    </row>
    <row r="4435" spans="10:11" ht="15.75" customHeight="1">
      <c r="J4435" s="4"/>
      <c r="K4435" s="4"/>
    </row>
    <row r="4436" spans="10:11" ht="15.75" customHeight="1">
      <c r="J4436" s="4"/>
      <c r="K4436" s="4"/>
    </row>
    <row r="4437" spans="10:11" ht="15.75" customHeight="1">
      <c r="J4437" s="4"/>
      <c r="K4437" s="4"/>
    </row>
    <row r="4438" spans="10:11" ht="15.75" customHeight="1">
      <c r="J4438" s="4"/>
      <c r="K4438" s="4"/>
    </row>
    <row r="4439" spans="10:11" ht="15.75" customHeight="1">
      <c r="J4439" s="4"/>
      <c r="K4439" s="4"/>
    </row>
    <row r="4440" spans="10:11" ht="15.75" customHeight="1">
      <c r="J4440" s="4"/>
      <c r="K4440" s="4"/>
    </row>
    <row r="4441" spans="10:11" ht="15.75" customHeight="1">
      <c r="J4441" s="4"/>
      <c r="K4441" s="4"/>
    </row>
    <row r="4442" spans="10:11" ht="15.75" customHeight="1">
      <c r="J4442" s="4"/>
      <c r="K4442" s="4"/>
    </row>
    <row r="4443" spans="10:11" ht="15.75" customHeight="1">
      <c r="J4443" s="4"/>
      <c r="K4443" s="4"/>
    </row>
    <row r="4444" spans="10:11" ht="15.75" customHeight="1">
      <c r="J4444" s="4"/>
      <c r="K4444" s="4"/>
    </row>
    <row r="4445" spans="10:11" ht="15.75" customHeight="1">
      <c r="J4445" s="4"/>
      <c r="K4445" s="4"/>
    </row>
    <row r="4446" spans="10:11" ht="15.75" customHeight="1">
      <c r="J4446" s="4"/>
      <c r="K4446" s="4"/>
    </row>
    <row r="4447" spans="10:11" ht="15.75" customHeight="1">
      <c r="J4447" s="4"/>
      <c r="K4447" s="4"/>
    </row>
    <row r="4448" spans="10:11" ht="15.75" customHeight="1">
      <c r="J4448" s="4"/>
      <c r="K4448" s="4"/>
    </row>
    <row r="4449" spans="10:11" ht="15.75" customHeight="1">
      <c r="J4449" s="4"/>
      <c r="K4449" s="4"/>
    </row>
    <row r="4450" spans="10:11" ht="15.75" customHeight="1">
      <c r="J4450" s="4"/>
      <c r="K4450" s="4"/>
    </row>
    <row r="4451" spans="10:11" ht="15.75" customHeight="1">
      <c r="J4451" s="4"/>
      <c r="K4451" s="4"/>
    </row>
    <row r="4452" spans="10:11" ht="15.75" customHeight="1">
      <c r="J4452" s="4"/>
      <c r="K4452" s="4"/>
    </row>
    <row r="4453" spans="10:11" ht="15.75" customHeight="1">
      <c r="J4453" s="4"/>
      <c r="K4453" s="4"/>
    </row>
    <row r="4454" spans="10:11" ht="15.75" customHeight="1">
      <c r="J4454" s="4"/>
      <c r="K4454" s="4"/>
    </row>
    <row r="4455" spans="10:11" ht="15.75" customHeight="1">
      <c r="J4455" s="4"/>
      <c r="K4455" s="4"/>
    </row>
    <row r="4456" spans="10:11" ht="15.75" customHeight="1">
      <c r="J4456" s="4"/>
      <c r="K4456" s="4"/>
    </row>
    <row r="4457" spans="10:11" ht="15.75" customHeight="1">
      <c r="J4457" s="4"/>
      <c r="K4457" s="4"/>
    </row>
    <row r="4458" spans="10:11" ht="15.75" customHeight="1">
      <c r="J4458" s="4"/>
      <c r="K4458" s="4"/>
    </row>
    <row r="4459" spans="10:11" ht="15.75" customHeight="1">
      <c r="J4459" s="4"/>
      <c r="K4459" s="4"/>
    </row>
    <row r="4460" spans="10:11" ht="15.75" customHeight="1">
      <c r="J4460" s="4"/>
      <c r="K4460" s="4"/>
    </row>
    <row r="4461" spans="10:11" ht="15.75" customHeight="1">
      <c r="J4461" s="4"/>
      <c r="K4461" s="4"/>
    </row>
    <row r="4462" spans="10:11" ht="15.75" customHeight="1">
      <c r="J4462" s="4"/>
      <c r="K4462" s="4"/>
    </row>
    <row r="4463" spans="10:11" ht="15.75" customHeight="1">
      <c r="J4463" s="4"/>
      <c r="K4463" s="4"/>
    </row>
    <row r="4464" spans="10:11" ht="15.75" customHeight="1">
      <c r="J4464" s="4"/>
      <c r="K4464" s="4"/>
    </row>
    <row r="4465" spans="10:11" ht="15.75" customHeight="1">
      <c r="J4465" s="4"/>
      <c r="K4465" s="4"/>
    </row>
    <row r="4466" spans="10:11" ht="15.75" customHeight="1">
      <c r="J4466" s="4"/>
      <c r="K4466" s="4"/>
    </row>
    <row r="4467" spans="10:11" ht="15.75" customHeight="1">
      <c r="J4467" s="4"/>
      <c r="K4467" s="4"/>
    </row>
    <row r="4468" spans="10:11" ht="15.75" customHeight="1">
      <c r="J4468" s="4"/>
      <c r="K4468" s="4"/>
    </row>
    <row r="4469" spans="10:11" ht="15.75" customHeight="1">
      <c r="J4469" s="4"/>
      <c r="K4469" s="4"/>
    </row>
    <row r="4470" spans="10:11" ht="15.75" customHeight="1">
      <c r="J4470" s="4"/>
      <c r="K4470" s="4"/>
    </row>
    <row r="4471" spans="10:11" ht="15.75" customHeight="1">
      <c r="J4471" s="4"/>
      <c r="K4471" s="4"/>
    </row>
    <row r="4472" spans="10:11" ht="15.75" customHeight="1">
      <c r="J4472" s="4"/>
      <c r="K4472" s="4"/>
    </row>
    <row r="4473" spans="10:11" ht="15.75" customHeight="1">
      <c r="J4473" s="4"/>
      <c r="K4473" s="4"/>
    </row>
    <row r="4474" spans="10:11" ht="15.75" customHeight="1">
      <c r="J4474" s="4"/>
      <c r="K4474" s="4"/>
    </row>
    <row r="4475" spans="10:11" ht="15.75" customHeight="1">
      <c r="J4475" s="4"/>
      <c r="K4475" s="4"/>
    </row>
    <row r="4476" spans="10:11" ht="15.75" customHeight="1">
      <c r="J4476" s="4"/>
      <c r="K4476" s="4"/>
    </row>
    <row r="4477" spans="10:11" ht="15.75" customHeight="1">
      <c r="J4477" s="4"/>
      <c r="K4477" s="4"/>
    </row>
    <row r="4478" spans="10:11" ht="15.75" customHeight="1">
      <c r="J4478" s="4"/>
      <c r="K4478" s="4"/>
    </row>
    <row r="4479" spans="10:11" ht="15.75" customHeight="1">
      <c r="J4479" s="4"/>
      <c r="K4479" s="4"/>
    </row>
    <row r="4480" spans="10:11" ht="15.75" customHeight="1">
      <c r="J4480" s="4"/>
      <c r="K4480" s="4"/>
    </row>
    <row r="4481" spans="10:11" ht="15.75" customHeight="1">
      <c r="J4481" s="4"/>
      <c r="K4481" s="4"/>
    </row>
    <row r="4482" spans="10:11" ht="15.75" customHeight="1">
      <c r="J4482" s="4"/>
      <c r="K4482" s="4"/>
    </row>
    <row r="4483" spans="10:11" ht="15.75" customHeight="1">
      <c r="J4483" s="4"/>
      <c r="K4483" s="4"/>
    </row>
    <row r="4484" spans="10:11" ht="15.75" customHeight="1">
      <c r="J4484" s="4"/>
      <c r="K4484" s="4"/>
    </row>
    <row r="4485" spans="10:11" ht="15.75" customHeight="1">
      <c r="J4485" s="4"/>
      <c r="K4485" s="4"/>
    </row>
    <row r="4486" spans="10:11" ht="15.75" customHeight="1">
      <c r="J4486" s="4"/>
      <c r="K4486" s="4"/>
    </row>
    <row r="4487" spans="10:11" ht="15.75" customHeight="1">
      <c r="J4487" s="4"/>
      <c r="K4487" s="4"/>
    </row>
    <row r="4488" spans="10:11" ht="15.75" customHeight="1">
      <c r="J4488" s="4"/>
      <c r="K4488" s="4"/>
    </row>
    <row r="4489" spans="10:11" ht="15.75" customHeight="1">
      <c r="J4489" s="4"/>
      <c r="K4489" s="4"/>
    </row>
    <row r="4490" spans="10:11" ht="15.75" customHeight="1">
      <c r="J4490" s="4"/>
      <c r="K4490" s="4"/>
    </row>
    <row r="4491" spans="10:11" ht="15.75" customHeight="1">
      <c r="J4491" s="4"/>
      <c r="K4491" s="4"/>
    </row>
    <row r="4492" spans="10:11" ht="15.75" customHeight="1">
      <c r="J4492" s="4"/>
      <c r="K4492" s="4"/>
    </row>
    <row r="4493" spans="10:11" ht="15.75" customHeight="1">
      <c r="J4493" s="4"/>
      <c r="K4493" s="4"/>
    </row>
    <row r="4494" spans="10:11" ht="15.75" customHeight="1">
      <c r="J4494" s="4"/>
      <c r="K4494" s="4"/>
    </row>
    <row r="4495" spans="10:11" ht="15.75" customHeight="1">
      <c r="J4495" s="4"/>
      <c r="K4495" s="4"/>
    </row>
    <row r="4496" spans="10:11" ht="15.75" customHeight="1">
      <c r="J4496" s="4"/>
      <c r="K4496" s="4"/>
    </row>
    <row r="4497" spans="10:11" ht="15.75" customHeight="1">
      <c r="J4497" s="4"/>
      <c r="K4497" s="4"/>
    </row>
    <row r="4498" spans="10:11" ht="15.75" customHeight="1">
      <c r="J4498" s="4"/>
      <c r="K4498" s="4"/>
    </row>
    <row r="4499" spans="10:11" ht="15.75" customHeight="1">
      <c r="J4499" s="4"/>
      <c r="K4499" s="4"/>
    </row>
    <row r="4500" spans="10:11" ht="15.75" customHeight="1">
      <c r="J4500" s="4"/>
      <c r="K4500" s="4"/>
    </row>
    <row r="4501" spans="10:11" ht="15.75" customHeight="1">
      <c r="J4501" s="4"/>
      <c r="K4501" s="4"/>
    </row>
    <row r="4502" spans="10:11" ht="15.75" customHeight="1">
      <c r="J4502" s="4"/>
      <c r="K4502" s="4"/>
    </row>
    <row r="4503" spans="10:11" ht="15.75" customHeight="1">
      <c r="J4503" s="4"/>
      <c r="K4503" s="4"/>
    </row>
    <row r="4504" spans="10:11" ht="15.75" customHeight="1">
      <c r="J4504" s="4"/>
      <c r="K4504" s="4"/>
    </row>
    <row r="4505" spans="10:11" ht="15.75" customHeight="1">
      <c r="J4505" s="4"/>
      <c r="K4505" s="4"/>
    </row>
    <row r="4506" spans="10:11" ht="15.75" customHeight="1">
      <c r="J4506" s="4"/>
      <c r="K4506" s="4"/>
    </row>
    <row r="4507" spans="10:11" ht="15.75" customHeight="1">
      <c r="J4507" s="4"/>
      <c r="K4507" s="4"/>
    </row>
    <row r="4508" spans="10:11" ht="15.75" customHeight="1">
      <c r="J4508" s="4"/>
      <c r="K4508" s="4"/>
    </row>
    <row r="4509" spans="10:11" ht="15.75" customHeight="1">
      <c r="J4509" s="4"/>
      <c r="K4509" s="4"/>
    </row>
    <row r="4510" spans="10:11" ht="15.75" customHeight="1">
      <c r="J4510" s="4"/>
      <c r="K4510" s="4"/>
    </row>
    <row r="4511" spans="10:11" ht="15.75" customHeight="1">
      <c r="J4511" s="4"/>
      <c r="K4511" s="4"/>
    </row>
    <row r="4512" spans="10:11" ht="15.75" customHeight="1">
      <c r="J4512" s="4"/>
      <c r="K4512" s="4"/>
    </row>
    <row r="4513" spans="10:11" ht="15.75" customHeight="1">
      <c r="J4513" s="4"/>
      <c r="K4513" s="4"/>
    </row>
    <row r="4514" spans="10:11" ht="15.75" customHeight="1">
      <c r="J4514" s="4"/>
      <c r="K4514" s="4"/>
    </row>
    <row r="4515" spans="10:11" ht="15.75" customHeight="1">
      <c r="J4515" s="4"/>
      <c r="K4515" s="4"/>
    </row>
    <row r="4516" spans="10:11" ht="15.75" customHeight="1">
      <c r="J4516" s="4"/>
      <c r="K4516" s="4"/>
    </row>
    <row r="4517" spans="10:11" ht="15.75" customHeight="1">
      <c r="J4517" s="4"/>
      <c r="K4517" s="4"/>
    </row>
    <row r="4518" spans="10:11" ht="15.75" customHeight="1">
      <c r="J4518" s="4"/>
      <c r="K4518" s="4"/>
    </row>
    <row r="4519" spans="10:11" ht="15.75" customHeight="1">
      <c r="J4519" s="4"/>
      <c r="K4519" s="4"/>
    </row>
    <row r="4520" spans="10:11" ht="15.75" customHeight="1">
      <c r="J4520" s="4"/>
      <c r="K4520" s="4"/>
    </row>
    <row r="4521" spans="10:11" ht="15.75" customHeight="1">
      <c r="J4521" s="4"/>
      <c r="K4521" s="4"/>
    </row>
    <row r="4522" spans="10:11" ht="15.75" customHeight="1">
      <c r="J4522" s="4"/>
      <c r="K4522" s="4"/>
    </row>
    <row r="4523" spans="10:11" ht="15.75" customHeight="1">
      <c r="J4523" s="4"/>
      <c r="K4523" s="4"/>
    </row>
    <row r="4524" spans="10:11" ht="15.75" customHeight="1">
      <c r="J4524" s="4"/>
      <c r="K4524" s="4"/>
    </row>
    <row r="4525" spans="10:11" ht="15.75" customHeight="1">
      <c r="J4525" s="4"/>
      <c r="K4525" s="4"/>
    </row>
    <row r="4526" spans="10:11" ht="15.75" customHeight="1">
      <c r="J4526" s="4"/>
      <c r="K4526" s="4"/>
    </row>
    <row r="4527" spans="10:11" ht="15.75" customHeight="1">
      <c r="J4527" s="4"/>
      <c r="K4527" s="4"/>
    </row>
    <row r="4528" spans="10:11" ht="15.75" customHeight="1">
      <c r="J4528" s="4"/>
      <c r="K4528" s="4"/>
    </row>
    <row r="4529" spans="10:11" ht="15.75" customHeight="1">
      <c r="J4529" s="4"/>
      <c r="K4529" s="4"/>
    </row>
    <row r="4530" spans="10:11" ht="15.75" customHeight="1">
      <c r="J4530" s="4"/>
      <c r="K4530" s="4"/>
    </row>
    <row r="4531" spans="10:11" ht="15.75" customHeight="1">
      <c r="J4531" s="4"/>
      <c r="K4531" s="4"/>
    </row>
    <row r="4532" spans="10:11" ht="15.75" customHeight="1">
      <c r="J4532" s="4"/>
      <c r="K4532" s="4"/>
    </row>
    <row r="4533" spans="10:11" ht="15.75" customHeight="1">
      <c r="J4533" s="4"/>
      <c r="K4533" s="4"/>
    </row>
    <row r="4534" spans="10:11" ht="15.75" customHeight="1">
      <c r="J4534" s="4"/>
      <c r="K4534" s="4"/>
    </row>
    <row r="4535" spans="10:11" ht="15.75" customHeight="1">
      <c r="J4535" s="4"/>
      <c r="K4535" s="4"/>
    </row>
    <row r="4536" spans="10:11" ht="15.75" customHeight="1">
      <c r="J4536" s="4"/>
      <c r="K4536" s="4"/>
    </row>
    <row r="4537" spans="10:11" ht="15.75" customHeight="1">
      <c r="J4537" s="4"/>
      <c r="K4537" s="4"/>
    </row>
    <row r="4538" spans="10:11" ht="15.75" customHeight="1">
      <c r="J4538" s="4"/>
      <c r="K4538" s="4"/>
    </row>
    <row r="4539" spans="10:11" ht="15.75" customHeight="1">
      <c r="J4539" s="4"/>
      <c r="K4539" s="4"/>
    </row>
    <row r="4540" spans="10:11" ht="15.75" customHeight="1">
      <c r="J4540" s="4"/>
      <c r="K4540" s="4"/>
    </row>
    <row r="4541" spans="10:11" ht="15.75" customHeight="1">
      <c r="J4541" s="4"/>
      <c r="K4541" s="4"/>
    </row>
    <row r="4542" spans="10:11" ht="15.75" customHeight="1">
      <c r="J4542" s="4"/>
      <c r="K4542" s="4"/>
    </row>
    <row r="4543" spans="10:11" ht="15.75" customHeight="1">
      <c r="J4543" s="4"/>
      <c r="K4543" s="4"/>
    </row>
    <row r="4544" spans="10:11" ht="15.75" customHeight="1">
      <c r="J4544" s="4"/>
      <c r="K4544" s="4"/>
    </row>
    <row r="4545" spans="10:11" ht="15.75" customHeight="1">
      <c r="J4545" s="4"/>
      <c r="K4545" s="4"/>
    </row>
    <row r="4546" spans="10:11" ht="15.75" customHeight="1">
      <c r="J4546" s="4"/>
      <c r="K4546" s="4"/>
    </row>
    <row r="4547" spans="10:11" ht="15.75" customHeight="1">
      <c r="J4547" s="4"/>
      <c r="K4547" s="4"/>
    </row>
    <row r="4548" spans="10:11" ht="15.75" customHeight="1">
      <c r="J4548" s="4"/>
      <c r="K4548" s="4"/>
    </row>
    <row r="4549" spans="10:11" ht="15.75" customHeight="1">
      <c r="J4549" s="4"/>
      <c r="K4549" s="4"/>
    </row>
    <row r="4550" spans="10:11" ht="15.75" customHeight="1">
      <c r="J4550" s="4"/>
      <c r="K4550" s="4"/>
    </row>
    <row r="4551" spans="10:11" ht="15.75" customHeight="1">
      <c r="J4551" s="4"/>
      <c r="K4551" s="4"/>
    </row>
    <row r="4552" spans="10:11" ht="15.75" customHeight="1">
      <c r="J4552" s="4"/>
      <c r="K4552" s="4"/>
    </row>
    <row r="4553" spans="10:11" ht="15.75" customHeight="1">
      <c r="J4553" s="4"/>
      <c r="K4553" s="4"/>
    </row>
    <row r="4554" spans="10:11" ht="15.75" customHeight="1">
      <c r="J4554" s="4"/>
      <c r="K4554" s="4"/>
    </row>
    <row r="4555" spans="10:11" ht="15.75" customHeight="1">
      <c r="J4555" s="4"/>
      <c r="K4555" s="4"/>
    </row>
    <row r="4556" spans="10:11" ht="15.75" customHeight="1">
      <c r="J4556" s="4"/>
      <c r="K4556" s="4"/>
    </row>
    <row r="4557" spans="10:11" ht="15.75" customHeight="1">
      <c r="J4557" s="4"/>
      <c r="K4557" s="4"/>
    </row>
    <row r="4558" spans="10:11" ht="15.75" customHeight="1">
      <c r="J4558" s="4"/>
      <c r="K4558" s="4"/>
    </row>
    <row r="4559" spans="10:11" ht="15.75" customHeight="1">
      <c r="J4559" s="4"/>
      <c r="K4559" s="4"/>
    </row>
    <row r="4560" spans="10:11" ht="15.75" customHeight="1">
      <c r="J4560" s="4"/>
      <c r="K4560" s="4"/>
    </row>
    <row r="4561" spans="10:11" ht="15.75" customHeight="1">
      <c r="J4561" s="4"/>
      <c r="K4561" s="4"/>
    </row>
    <row r="4562" spans="10:11" ht="15.75" customHeight="1">
      <c r="J4562" s="4"/>
      <c r="K4562" s="4"/>
    </row>
    <row r="4563" spans="10:11" ht="15.75" customHeight="1">
      <c r="J4563" s="4"/>
      <c r="K4563" s="4"/>
    </row>
    <row r="4564" spans="10:11" ht="15.75" customHeight="1">
      <c r="J4564" s="4"/>
      <c r="K4564" s="4"/>
    </row>
    <row r="4565" spans="10:11" ht="15.75" customHeight="1">
      <c r="J4565" s="4"/>
      <c r="K4565" s="4"/>
    </row>
    <row r="4566" spans="10:11" ht="15.75" customHeight="1">
      <c r="J4566" s="4"/>
      <c r="K4566" s="4"/>
    </row>
    <row r="4567" spans="10:11" ht="15.75" customHeight="1">
      <c r="J4567" s="4"/>
      <c r="K4567" s="4"/>
    </row>
    <row r="4568" spans="10:11" ht="15.75" customHeight="1">
      <c r="J4568" s="4"/>
      <c r="K4568" s="4"/>
    </row>
    <row r="4569" spans="10:11" ht="15.75" customHeight="1">
      <c r="J4569" s="4"/>
      <c r="K4569" s="4"/>
    </row>
    <row r="4570" spans="10:11" ht="15.75" customHeight="1">
      <c r="J4570" s="4"/>
      <c r="K4570" s="4"/>
    </row>
    <row r="4571" spans="10:11" ht="15.75" customHeight="1">
      <c r="J4571" s="4"/>
      <c r="K4571" s="4"/>
    </row>
    <row r="4572" spans="10:11" ht="15.75" customHeight="1">
      <c r="J4572" s="4"/>
      <c r="K4572" s="4"/>
    </row>
    <row r="4573" spans="10:11" ht="15.75" customHeight="1">
      <c r="J4573" s="4"/>
      <c r="K4573" s="4"/>
    </row>
    <row r="4574" spans="10:11" ht="15.75" customHeight="1">
      <c r="J4574" s="4"/>
      <c r="K4574" s="4"/>
    </row>
    <row r="4575" spans="10:11" ht="15.75" customHeight="1">
      <c r="J4575" s="4"/>
      <c r="K4575" s="4"/>
    </row>
    <row r="4576" spans="10:11" ht="15.75" customHeight="1">
      <c r="J4576" s="4"/>
      <c r="K4576" s="4"/>
    </row>
    <row r="4577" spans="10:11" ht="15.75" customHeight="1">
      <c r="J4577" s="4"/>
      <c r="K4577" s="4"/>
    </row>
    <row r="4578" spans="10:11" ht="15.75" customHeight="1">
      <c r="J4578" s="4"/>
      <c r="K4578" s="4"/>
    </row>
    <row r="4579" spans="10:11" ht="15.75" customHeight="1">
      <c r="J4579" s="4"/>
      <c r="K4579" s="4"/>
    </row>
    <row r="4580" spans="10:11" ht="15.75" customHeight="1">
      <c r="J4580" s="4"/>
      <c r="K4580" s="4"/>
    </row>
    <row r="4581" spans="10:11" ht="15.75" customHeight="1">
      <c r="J4581" s="4"/>
      <c r="K4581" s="4"/>
    </row>
    <row r="4582" spans="10:11" ht="15.75" customHeight="1">
      <c r="J4582" s="4"/>
      <c r="K4582" s="4"/>
    </row>
    <row r="4583" spans="10:11" ht="15.75" customHeight="1">
      <c r="J4583" s="4"/>
      <c r="K4583" s="4"/>
    </row>
    <row r="4584" spans="10:11" ht="15.75" customHeight="1">
      <c r="J4584" s="4"/>
      <c r="K4584" s="4"/>
    </row>
    <row r="4585" spans="10:11" ht="15.75" customHeight="1">
      <c r="J4585" s="4"/>
      <c r="K4585" s="4"/>
    </row>
    <row r="4586" spans="10:11" ht="15.75" customHeight="1">
      <c r="J4586" s="4"/>
      <c r="K4586" s="4"/>
    </row>
    <row r="4587" spans="10:11" ht="15.75" customHeight="1">
      <c r="J4587" s="4"/>
      <c r="K4587" s="4"/>
    </row>
    <row r="4588" spans="10:11" ht="15.75" customHeight="1">
      <c r="J4588" s="4"/>
      <c r="K4588" s="4"/>
    </row>
    <row r="4589" spans="10:11" ht="15.75" customHeight="1">
      <c r="J4589" s="4"/>
      <c r="K4589" s="4"/>
    </row>
    <row r="4590" spans="10:11" ht="15.75" customHeight="1">
      <c r="J4590" s="4"/>
      <c r="K4590" s="4"/>
    </row>
    <row r="4591" spans="10:11" ht="15.75" customHeight="1">
      <c r="J4591" s="4"/>
      <c r="K4591" s="4"/>
    </row>
    <row r="4592" spans="10:11" ht="15.75" customHeight="1">
      <c r="J4592" s="4"/>
      <c r="K4592" s="4"/>
    </row>
    <row r="4593" spans="10:11" ht="15.75" customHeight="1">
      <c r="J4593" s="4"/>
      <c r="K4593" s="4"/>
    </row>
    <row r="4594" spans="10:11" ht="15.75" customHeight="1">
      <c r="J4594" s="4"/>
      <c r="K4594" s="4"/>
    </row>
    <row r="4595" spans="10:11" ht="15.75" customHeight="1">
      <c r="J4595" s="4"/>
      <c r="K4595" s="4"/>
    </row>
    <row r="4596" spans="10:11" ht="15.75" customHeight="1">
      <c r="J4596" s="4"/>
      <c r="K4596" s="4"/>
    </row>
    <row r="4597" spans="10:11" ht="15.75" customHeight="1">
      <c r="J4597" s="4"/>
      <c r="K4597" s="4"/>
    </row>
    <row r="4598" spans="10:11" ht="15.75" customHeight="1">
      <c r="J4598" s="4"/>
      <c r="K4598" s="4"/>
    </row>
    <row r="4599" spans="10:11" ht="15.75" customHeight="1">
      <c r="J4599" s="4"/>
      <c r="K4599" s="4"/>
    </row>
    <row r="4600" spans="10:11" ht="15.75" customHeight="1">
      <c r="J4600" s="4"/>
      <c r="K4600" s="4"/>
    </row>
    <row r="4601" spans="10:11" ht="15.75" customHeight="1">
      <c r="J4601" s="4"/>
      <c r="K4601" s="4"/>
    </row>
    <row r="4602" spans="10:11" ht="15.75" customHeight="1">
      <c r="J4602" s="4"/>
      <c r="K4602" s="4"/>
    </row>
    <row r="4603" spans="10:11" ht="15.75" customHeight="1">
      <c r="J4603" s="4"/>
      <c r="K4603" s="4"/>
    </row>
    <row r="4604" spans="10:11" ht="15.75" customHeight="1">
      <c r="J4604" s="4"/>
      <c r="K4604" s="4"/>
    </row>
    <row r="4605" spans="10:11" ht="15.75" customHeight="1">
      <c r="J4605" s="4"/>
      <c r="K4605" s="4"/>
    </row>
    <row r="4606" spans="10:11" ht="15.75" customHeight="1">
      <c r="J4606" s="4"/>
      <c r="K4606" s="4"/>
    </row>
    <row r="4607" spans="10:11" ht="15.75" customHeight="1">
      <c r="J4607" s="4"/>
      <c r="K4607" s="4"/>
    </row>
    <row r="4608" spans="10:11" ht="15.75" customHeight="1">
      <c r="J4608" s="4"/>
      <c r="K4608" s="4"/>
    </row>
    <row r="4609" spans="10:11" ht="15.75" customHeight="1">
      <c r="J4609" s="4"/>
      <c r="K4609" s="4"/>
    </row>
    <row r="4610" spans="10:11" ht="15.75" customHeight="1">
      <c r="J4610" s="4"/>
      <c r="K4610" s="4"/>
    </row>
    <row r="4611" spans="10:11" ht="15.75" customHeight="1">
      <c r="J4611" s="4"/>
      <c r="K4611" s="4"/>
    </row>
    <row r="4612" spans="10:11" ht="15.75" customHeight="1">
      <c r="J4612" s="4"/>
      <c r="K4612" s="4"/>
    </row>
    <row r="4613" spans="10:11" ht="15.75" customHeight="1">
      <c r="J4613" s="4"/>
      <c r="K4613" s="4"/>
    </row>
    <row r="4614" spans="10:11" ht="15.75" customHeight="1">
      <c r="J4614" s="4"/>
      <c r="K4614" s="4"/>
    </row>
    <row r="4615" spans="10:11" ht="15.75" customHeight="1">
      <c r="J4615" s="4"/>
      <c r="K4615" s="4"/>
    </row>
    <row r="4616" spans="10:11" ht="15.75" customHeight="1">
      <c r="J4616" s="4"/>
      <c r="K4616" s="4"/>
    </row>
    <row r="4617" spans="10:11" ht="15.75" customHeight="1">
      <c r="J4617" s="4"/>
      <c r="K4617" s="4"/>
    </row>
    <row r="4618" spans="10:11" ht="15.75" customHeight="1">
      <c r="J4618" s="4"/>
      <c r="K4618" s="4"/>
    </row>
    <row r="4619" spans="10:11" ht="15.75" customHeight="1">
      <c r="J4619" s="4"/>
      <c r="K4619" s="4"/>
    </row>
    <row r="4620" spans="10:11" ht="15.75" customHeight="1">
      <c r="J4620" s="4"/>
      <c r="K4620" s="4"/>
    </row>
    <row r="4621" spans="10:11" ht="15.75" customHeight="1">
      <c r="J4621" s="4"/>
      <c r="K4621" s="4"/>
    </row>
    <row r="4622" spans="10:11" ht="15.75" customHeight="1">
      <c r="J4622" s="4"/>
      <c r="K4622" s="4"/>
    </row>
    <row r="4623" spans="10:11" ht="15.75" customHeight="1">
      <c r="J4623" s="4"/>
      <c r="K4623" s="4"/>
    </row>
    <row r="4624" spans="10:11" ht="15.75" customHeight="1">
      <c r="J4624" s="4"/>
      <c r="K4624" s="4"/>
    </row>
    <row r="4625" spans="10:11" ht="15.75" customHeight="1">
      <c r="J4625" s="4"/>
      <c r="K4625" s="4"/>
    </row>
    <row r="4626" spans="10:11" ht="15.75" customHeight="1">
      <c r="J4626" s="4"/>
      <c r="K4626" s="4"/>
    </row>
    <row r="4627" spans="10:11" ht="15.75" customHeight="1">
      <c r="J4627" s="4"/>
      <c r="K4627" s="4"/>
    </row>
    <row r="4628" spans="10:11" ht="15.75" customHeight="1">
      <c r="J4628" s="4"/>
      <c r="K4628" s="4"/>
    </row>
    <row r="4629" spans="10:11" ht="15.75" customHeight="1">
      <c r="J4629" s="4"/>
      <c r="K4629" s="4"/>
    </row>
    <row r="4630" spans="10:11" ht="15.75" customHeight="1">
      <c r="J4630" s="4"/>
      <c r="K4630" s="4"/>
    </row>
    <row r="4631" spans="10:11" ht="15.75" customHeight="1">
      <c r="J4631" s="4"/>
      <c r="K4631" s="4"/>
    </row>
    <row r="4632" spans="10:11" ht="15.75" customHeight="1">
      <c r="J4632" s="4"/>
      <c r="K4632" s="4"/>
    </row>
    <row r="4633" spans="10:11" ht="15.75" customHeight="1">
      <c r="J4633" s="4"/>
      <c r="K4633" s="4"/>
    </row>
    <row r="4634" spans="10:11" ht="15.75" customHeight="1">
      <c r="J4634" s="4"/>
      <c r="K4634" s="4"/>
    </row>
    <row r="4635" spans="10:11" ht="15.75" customHeight="1">
      <c r="J4635" s="4"/>
      <c r="K4635" s="4"/>
    </row>
    <row r="4636" spans="10:11" ht="15.75" customHeight="1">
      <c r="J4636" s="4"/>
      <c r="K4636" s="4"/>
    </row>
    <row r="4637" spans="10:11" ht="15.75" customHeight="1">
      <c r="J4637" s="4"/>
      <c r="K4637" s="4"/>
    </row>
    <row r="4638" spans="10:11" ht="15.75" customHeight="1">
      <c r="J4638" s="4"/>
      <c r="K4638" s="4"/>
    </row>
    <row r="4639" spans="10:11" ht="15.75" customHeight="1">
      <c r="J4639" s="4"/>
      <c r="K4639" s="4"/>
    </row>
    <row r="4640" spans="10:11" ht="15.75" customHeight="1">
      <c r="J4640" s="4"/>
      <c r="K4640" s="4"/>
    </row>
    <row r="4641" spans="10:11" ht="15.75" customHeight="1">
      <c r="J4641" s="4"/>
      <c r="K4641" s="4"/>
    </row>
    <row r="4642" spans="10:11" ht="15.75" customHeight="1">
      <c r="J4642" s="4"/>
      <c r="K4642" s="4"/>
    </row>
    <row r="4643" spans="10:11" ht="15.75" customHeight="1">
      <c r="J4643" s="4"/>
      <c r="K4643" s="4"/>
    </row>
    <row r="4644" spans="10:11" ht="15.75" customHeight="1">
      <c r="J4644" s="4"/>
      <c r="K4644" s="4"/>
    </row>
    <row r="4645" spans="10:11" ht="15.75" customHeight="1">
      <c r="J4645" s="4"/>
      <c r="K4645" s="4"/>
    </row>
    <row r="4646" spans="10:11" ht="15.75" customHeight="1">
      <c r="J4646" s="4"/>
      <c r="K4646" s="4"/>
    </row>
    <row r="4647" spans="10:11" ht="15.75" customHeight="1">
      <c r="J4647" s="4"/>
      <c r="K4647" s="4"/>
    </row>
    <row r="4648" spans="10:11" ht="15.75" customHeight="1">
      <c r="J4648" s="4"/>
      <c r="K4648" s="4"/>
    </row>
    <row r="4649" spans="10:11" ht="15.75" customHeight="1">
      <c r="J4649" s="4"/>
      <c r="K4649" s="4"/>
    </row>
    <row r="4650" spans="10:11" ht="15.75" customHeight="1">
      <c r="J4650" s="4"/>
      <c r="K4650" s="4"/>
    </row>
    <row r="4651" spans="10:11" ht="15.75" customHeight="1">
      <c r="J4651" s="4"/>
      <c r="K4651" s="4"/>
    </row>
    <row r="4652" spans="10:11" ht="15.75" customHeight="1">
      <c r="J4652" s="4"/>
      <c r="K4652" s="4"/>
    </row>
    <row r="4653" spans="10:11" ht="15.75" customHeight="1">
      <c r="J4653" s="4"/>
      <c r="K4653" s="4"/>
    </row>
    <row r="4654" spans="10:11" ht="15.75" customHeight="1">
      <c r="J4654" s="4"/>
      <c r="K4654" s="4"/>
    </row>
    <row r="4655" spans="10:11" ht="15.75" customHeight="1">
      <c r="J4655" s="4"/>
      <c r="K4655" s="4"/>
    </row>
    <row r="4656" spans="10:11" ht="15.75" customHeight="1">
      <c r="J4656" s="4"/>
      <c r="K4656" s="4"/>
    </row>
    <row r="4657" spans="10:11" ht="15.75" customHeight="1">
      <c r="J4657" s="4"/>
      <c r="K4657" s="4"/>
    </row>
    <row r="4658" spans="10:11" ht="15.75" customHeight="1">
      <c r="J4658" s="4"/>
      <c r="K4658" s="4"/>
    </row>
    <row r="4659" spans="10:11" ht="15.75" customHeight="1">
      <c r="J4659" s="4"/>
      <c r="K4659" s="4"/>
    </row>
    <row r="4660" spans="10:11" ht="15.75" customHeight="1">
      <c r="J4660" s="4"/>
      <c r="K4660" s="4"/>
    </row>
    <row r="4661" spans="10:11" ht="15.75" customHeight="1">
      <c r="J4661" s="4"/>
      <c r="K4661" s="4"/>
    </row>
    <row r="4662" spans="10:11" ht="15.75" customHeight="1">
      <c r="J4662" s="4"/>
      <c r="K4662" s="4"/>
    </row>
    <row r="4663" spans="10:11" ht="15.75" customHeight="1">
      <c r="J4663" s="4"/>
      <c r="K4663" s="4"/>
    </row>
    <row r="4664" spans="10:11" ht="15.75" customHeight="1">
      <c r="J4664" s="4"/>
      <c r="K4664" s="4"/>
    </row>
    <row r="4665" spans="10:11" ht="15.75" customHeight="1">
      <c r="J4665" s="4"/>
      <c r="K4665" s="4"/>
    </row>
    <row r="4666" spans="10:11" ht="15.75" customHeight="1">
      <c r="J4666" s="4"/>
      <c r="K4666" s="4"/>
    </row>
    <row r="4667" spans="10:11" ht="15.75" customHeight="1">
      <c r="J4667" s="4"/>
      <c r="K4667" s="4"/>
    </row>
    <row r="4668" spans="10:11" ht="15.75" customHeight="1">
      <c r="J4668" s="4"/>
      <c r="K4668" s="4"/>
    </row>
    <row r="4669" spans="10:11" ht="15.75" customHeight="1">
      <c r="J4669" s="4"/>
      <c r="K4669" s="4"/>
    </row>
    <row r="4670" spans="10:11" ht="15.75" customHeight="1">
      <c r="J4670" s="4"/>
      <c r="K4670" s="4"/>
    </row>
    <row r="4671" spans="10:11" ht="15.75" customHeight="1">
      <c r="J4671" s="4"/>
      <c r="K4671" s="4"/>
    </row>
    <row r="4672" spans="10:11" ht="15.75" customHeight="1">
      <c r="J4672" s="4"/>
      <c r="K4672" s="4"/>
    </row>
    <row r="4673" spans="10:11" ht="15.75" customHeight="1">
      <c r="J4673" s="4"/>
      <c r="K4673" s="4"/>
    </row>
    <row r="4674" spans="10:11" ht="15.75" customHeight="1">
      <c r="J4674" s="4"/>
      <c r="K4674" s="4"/>
    </row>
    <row r="4675" spans="10:11" ht="15.75" customHeight="1">
      <c r="J4675" s="4"/>
      <c r="K4675" s="4"/>
    </row>
    <row r="4676" spans="10:11" ht="15.75" customHeight="1">
      <c r="J4676" s="4"/>
      <c r="K4676" s="4"/>
    </row>
    <row r="4677" spans="10:11" ht="15.75" customHeight="1">
      <c r="J4677" s="4"/>
      <c r="K4677" s="4"/>
    </row>
    <row r="4678" spans="10:11" ht="15.75" customHeight="1">
      <c r="J4678" s="4"/>
      <c r="K4678" s="4"/>
    </row>
    <row r="4679" spans="10:11" ht="15.75" customHeight="1">
      <c r="J4679" s="4"/>
      <c r="K4679" s="4"/>
    </row>
    <row r="4680" spans="10:11" ht="15.75" customHeight="1">
      <c r="J4680" s="4"/>
      <c r="K4680" s="4"/>
    </row>
    <row r="4681" spans="10:11" ht="15.75" customHeight="1">
      <c r="J4681" s="4"/>
      <c r="K4681" s="4"/>
    </row>
    <row r="4682" spans="10:11" ht="15.75" customHeight="1">
      <c r="J4682" s="4"/>
      <c r="K4682" s="4"/>
    </row>
    <row r="4683" spans="10:11" ht="15.75" customHeight="1">
      <c r="J4683" s="4"/>
      <c r="K4683" s="4"/>
    </row>
    <row r="4684" spans="10:11" ht="15.75" customHeight="1">
      <c r="J4684" s="4"/>
      <c r="K4684" s="4"/>
    </row>
    <row r="4685" spans="10:11" ht="15.75" customHeight="1">
      <c r="J4685" s="4"/>
      <c r="K4685" s="4"/>
    </row>
    <row r="4686" spans="10:11" ht="15.75" customHeight="1">
      <c r="J4686" s="4"/>
      <c r="K4686" s="4"/>
    </row>
    <row r="4687" spans="10:11" ht="15.75" customHeight="1">
      <c r="J4687" s="4"/>
      <c r="K4687" s="4"/>
    </row>
    <row r="4688" spans="10:11" ht="15.75" customHeight="1">
      <c r="J4688" s="4"/>
      <c r="K4688" s="4"/>
    </row>
    <row r="4689" spans="10:11" ht="15.75" customHeight="1">
      <c r="J4689" s="4"/>
      <c r="K4689" s="4"/>
    </row>
    <row r="4690" spans="10:11" ht="15.75" customHeight="1">
      <c r="J4690" s="4"/>
      <c r="K4690" s="4"/>
    </row>
    <row r="4691" spans="10:11" ht="15.75" customHeight="1">
      <c r="J4691" s="4"/>
      <c r="K4691" s="4"/>
    </row>
    <row r="4692" spans="10:11" ht="15.75" customHeight="1">
      <c r="J4692" s="4"/>
      <c r="K4692" s="4"/>
    </row>
    <row r="4693" spans="10:11" ht="15.75" customHeight="1">
      <c r="J4693" s="4"/>
      <c r="K4693" s="4"/>
    </row>
    <row r="4694" spans="10:11" ht="15.75" customHeight="1">
      <c r="J4694" s="4"/>
      <c r="K4694" s="4"/>
    </row>
    <row r="4695" spans="10:11" ht="15.75" customHeight="1">
      <c r="J4695" s="4"/>
      <c r="K4695" s="4"/>
    </row>
    <row r="4696" spans="10:11" ht="15.75" customHeight="1">
      <c r="J4696" s="4"/>
      <c r="K4696" s="4"/>
    </row>
    <row r="4697" spans="10:11" ht="15.75" customHeight="1">
      <c r="J4697" s="4"/>
      <c r="K4697" s="4"/>
    </row>
    <row r="4698" spans="10:11" ht="15.75" customHeight="1">
      <c r="J4698" s="4"/>
      <c r="K4698" s="4"/>
    </row>
    <row r="4699" spans="10:11" ht="15.75" customHeight="1">
      <c r="J4699" s="4"/>
      <c r="K4699" s="4"/>
    </row>
    <row r="4700" spans="10:11" ht="15.75" customHeight="1">
      <c r="J4700" s="4"/>
      <c r="K4700" s="4"/>
    </row>
    <row r="4701" spans="10:11" ht="15.75" customHeight="1">
      <c r="J4701" s="4"/>
      <c r="K4701" s="4"/>
    </row>
    <row r="4702" spans="10:11" ht="15.75" customHeight="1">
      <c r="J4702" s="4"/>
      <c r="K4702" s="4"/>
    </row>
    <row r="4703" spans="10:11" ht="15.75" customHeight="1">
      <c r="J4703" s="4"/>
      <c r="K4703" s="4"/>
    </row>
    <row r="4704" spans="10:11" ht="15.75" customHeight="1">
      <c r="J4704" s="4"/>
      <c r="K4704" s="4"/>
    </row>
    <row r="4705" spans="10:11" ht="15.75" customHeight="1">
      <c r="J4705" s="4"/>
      <c r="K4705" s="4"/>
    </row>
    <row r="4706" spans="10:11" ht="15.75" customHeight="1">
      <c r="J4706" s="4"/>
      <c r="K4706" s="4"/>
    </row>
    <row r="4707" spans="10:11" ht="15.75" customHeight="1">
      <c r="J4707" s="4"/>
      <c r="K4707" s="4"/>
    </row>
    <row r="4708" spans="10:11" ht="15.75" customHeight="1">
      <c r="J4708" s="4"/>
      <c r="K4708" s="4"/>
    </row>
    <row r="4709" spans="10:11" ht="15.75" customHeight="1">
      <c r="J4709" s="4"/>
      <c r="K4709" s="4"/>
    </row>
    <row r="4710" spans="10:11" ht="15.75" customHeight="1">
      <c r="J4710" s="4"/>
      <c r="K4710" s="4"/>
    </row>
    <row r="4711" spans="10:11" ht="15.75" customHeight="1">
      <c r="J4711" s="4"/>
      <c r="K4711" s="4"/>
    </row>
    <row r="4712" spans="10:11" ht="15.75" customHeight="1">
      <c r="J4712" s="4"/>
      <c r="K4712" s="4"/>
    </row>
    <row r="4713" spans="10:11" ht="15.75" customHeight="1">
      <c r="J4713" s="4"/>
      <c r="K4713" s="4"/>
    </row>
    <row r="4714" spans="10:11" ht="15.75" customHeight="1">
      <c r="J4714" s="4"/>
      <c r="K4714" s="4"/>
    </row>
    <row r="4715" spans="10:11" ht="15.75" customHeight="1">
      <c r="J4715" s="4"/>
      <c r="K4715" s="4"/>
    </row>
    <row r="4716" spans="10:11" ht="15.75" customHeight="1">
      <c r="J4716" s="4"/>
      <c r="K4716" s="4"/>
    </row>
    <row r="4717" spans="10:11" ht="15.75" customHeight="1">
      <c r="J4717" s="4"/>
      <c r="K4717" s="4"/>
    </row>
    <row r="4718" spans="10:11" ht="15.75" customHeight="1">
      <c r="J4718" s="4"/>
      <c r="K4718" s="4"/>
    </row>
    <row r="4719" spans="10:11" ht="15.75" customHeight="1">
      <c r="J4719" s="4"/>
      <c r="K4719" s="4"/>
    </row>
    <row r="4720" spans="10:11" ht="15.75" customHeight="1">
      <c r="J4720" s="4"/>
      <c r="K4720" s="4"/>
    </row>
    <row r="4721" spans="10:11" ht="15.75" customHeight="1">
      <c r="J4721" s="4"/>
      <c r="K4721" s="4"/>
    </row>
    <row r="4722" spans="10:11" ht="15.75" customHeight="1">
      <c r="J4722" s="4"/>
      <c r="K4722" s="4"/>
    </row>
    <row r="4723" spans="10:11" ht="15.75" customHeight="1">
      <c r="J4723" s="4"/>
      <c r="K4723" s="4"/>
    </row>
    <row r="4724" spans="10:11" ht="15.75" customHeight="1">
      <c r="J4724" s="4"/>
      <c r="K4724" s="4"/>
    </row>
    <row r="4725" spans="10:11" ht="15.75" customHeight="1">
      <c r="J4725" s="4"/>
      <c r="K4725" s="4"/>
    </row>
    <row r="4726" spans="10:11" ht="15.75" customHeight="1">
      <c r="J4726" s="4"/>
      <c r="K4726" s="4"/>
    </row>
    <row r="4727" spans="10:11" ht="15.75" customHeight="1">
      <c r="J4727" s="4"/>
      <c r="K4727" s="4"/>
    </row>
    <row r="4728" spans="10:11" ht="15.75" customHeight="1">
      <c r="J4728" s="4"/>
      <c r="K4728" s="4"/>
    </row>
    <row r="4729" spans="10:11" ht="15.75" customHeight="1">
      <c r="J4729" s="4"/>
      <c r="K4729" s="4"/>
    </row>
    <row r="4730" spans="10:11" ht="15.75" customHeight="1">
      <c r="J4730" s="4"/>
      <c r="K4730" s="4"/>
    </row>
    <row r="4731" spans="10:11" ht="15.75" customHeight="1">
      <c r="J4731" s="4"/>
      <c r="K4731" s="4"/>
    </row>
    <row r="4732" spans="10:11" ht="15.75" customHeight="1">
      <c r="J4732" s="4"/>
      <c r="K4732" s="4"/>
    </row>
    <row r="4733" spans="10:11" ht="15.75" customHeight="1">
      <c r="J4733" s="4"/>
      <c r="K4733" s="4"/>
    </row>
    <row r="4734" spans="10:11" ht="15.75" customHeight="1">
      <c r="J4734" s="4"/>
      <c r="K4734" s="4"/>
    </row>
    <row r="4735" spans="10:11" ht="15.75" customHeight="1">
      <c r="J4735" s="4"/>
      <c r="K4735" s="4"/>
    </row>
    <row r="4736" spans="10:11" ht="15.75" customHeight="1">
      <c r="J4736" s="4"/>
      <c r="K4736" s="4"/>
    </row>
    <row r="4737" spans="10:11" ht="15.75" customHeight="1">
      <c r="J4737" s="4"/>
      <c r="K4737" s="4"/>
    </row>
    <row r="4738" spans="10:11" ht="15.75" customHeight="1">
      <c r="J4738" s="4"/>
      <c r="K4738" s="4"/>
    </row>
    <row r="4739" spans="10:11" ht="15.75" customHeight="1">
      <c r="J4739" s="4"/>
      <c r="K4739" s="4"/>
    </row>
    <row r="4740" spans="10:11" ht="15.75" customHeight="1">
      <c r="J4740" s="4"/>
      <c r="K4740" s="4"/>
    </row>
    <row r="4741" spans="10:11" ht="15.75" customHeight="1">
      <c r="J4741" s="4"/>
      <c r="K4741" s="4"/>
    </row>
    <row r="4742" spans="10:11" ht="15.75" customHeight="1">
      <c r="J4742" s="4"/>
      <c r="K4742" s="4"/>
    </row>
    <row r="4743" spans="10:11" ht="15.75" customHeight="1">
      <c r="J4743" s="4"/>
      <c r="K4743" s="4"/>
    </row>
    <row r="4744" spans="10:11" ht="15.75" customHeight="1">
      <c r="J4744" s="4"/>
      <c r="K4744" s="4"/>
    </row>
    <row r="4745" spans="10:11" ht="15.75" customHeight="1">
      <c r="J4745" s="4"/>
      <c r="K4745" s="4"/>
    </row>
    <row r="4746" spans="10:11" ht="15.75" customHeight="1">
      <c r="J4746" s="4"/>
      <c r="K4746" s="4"/>
    </row>
    <row r="4747" spans="10:11" ht="15.75" customHeight="1">
      <c r="J4747" s="4"/>
      <c r="K4747" s="4"/>
    </row>
    <row r="4748" spans="10:11" ht="15.75" customHeight="1">
      <c r="J4748" s="4"/>
      <c r="K4748" s="4"/>
    </row>
    <row r="4749" spans="10:11" ht="15.75" customHeight="1">
      <c r="J4749" s="4"/>
      <c r="K4749" s="4"/>
    </row>
    <row r="4750" spans="10:11" ht="15.75" customHeight="1">
      <c r="J4750" s="4"/>
      <c r="K4750" s="4"/>
    </row>
    <row r="4751" spans="10:11" ht="15.75" customHeight="1">
      <c r="J4751" s="4"/>
      <c r="K4751" s="4"/>
    </row>
    <row r="4752" spans="10:11" ht="15.75" customHeight="1">
      <c r="J4752" s="4"/>
      <c r="K4752" s="4"/>
    </row>
    <row r="4753" spans="10:11" ht="15.75" customHeight="1">
      <c r="J4753" s="4"/>
      <c r="K4753" s="4"/>
    </row>
    <row r="4754" spans="10:11" ht="15.75" customHeight="1">
      <c r="J4754" s="4"/>
      <c r="K4754" s="4"/>
    </row>
    <row r="4755" spans="10:11" ht="15.75" customHeight="1">
      <c r="J4755" s="4"/>
      <c r="K4755" s="4"/>
    </row>
    <row r="4756" spans="10:11" ht="15.75" customHeight="1">
      <c r="J4756" s="4"/>
      <c r="K4756" s="4"/>
    </row>
    <row r="4757" spans="10:11" ht="15.75" customHeight="1">
      <c r="J4757" s="4"/>
      <c r="K4757" s="4"/>
    </row>
    <row r="4758" spans="10:11" ht="15.75" customHeight="1">
      <c r="J4758" s="4"/>
      <c r="K4758" s="4"/>
    </row>
    <row r="4759" spans="10:11" ht="15.75" customHeight="1">
      <c r="J4759" s="4"/>
      <c r="K4759" s="4"/>
    </row>
    <row r="4760" spans="10:11" ht="15.75" customHeight="1">
      <c r="J4760" s="4"/>
      <c r="K4760" s="4"/>
    </row>
    <row r="4761" spans="10:11" ht="15.75" customHeight="1">
      <c r="J4761" s="4"/>
      <c r="K4761" s="4"/>
    </row>
    <row r="4762" spans="10:11" ht="15.75" customHeight="1">
      <c r="J4762" s="4"/>
      <c r="K4762" s="4"/>
    </row>
    <row r="4763" spans="10:11" ht="15.75" customHeight="1">
      <c r="J4763" s="4"/>
      <c r="K4763" s="4"/>
    </row>
    <row r="4764" spans="10:11" ht="15.75" customHeight="1">
      <c r="J4764" s="4"/>
      <c r="K4764" s="4"/>
    </row>
    <row r="4765" spans="10:11" ht="15.75" customHeight="1">
      <c r="J4765" s="4"/>
      <c r="K4765" s="4"/>
    </row>
    <row r="4766" spans="10:11" ht="15.75" customHeight="1">
      <c r="J4766" s="4"/>
      <c r="K4766" s="4"/>
    </row>
    <row r="4767" spans="10:11" ht="15.75" customHeight="1">
      <c r="J4767" s="4"/>
      <c r="K4767" s="4"/>
    </row>
    <row r="4768" spans="10:11" ht="15.75" customHeight="1">
      <c r="J4768" s="4"/>
      <c r="K4768" s="4"/>
    </row>
    <row r="4769" spans="10:11" ht="15.75" customHeight="1">
      <c r="J4769" s="4"/>
      <c r="K4769" s="4"/>
    </row>
    <row r="4770" spans="10:11" ht="15.75" customHeight="1">
      <c r="J4770" s="4"/>
      <c r="K4770" s="4"/>
    </row>
    <row r="4771" spans="10:11" ht="15.75" customHeight="1">
      <c r="J4771" s="4"/>
      <c r="K4771" s="4"/>
    </row>
    <row r="4772" spans="10:11" ht="15.75" customHeight="1">
      <c r="J4772" s="4"/>
      <c r="K4772" s="4"/>
    </row>
    <row r="4773" spans="10:11" ht="15.75" customHeight="1">
      <c r="J4773" s="4"/>
      <c r="K4773" s="4"/>
    </row>
    <row r="4774" spans="10:11" ht="15.75" customHeight="1">
      <c r="J4774" s="4"/>
      <c r="K4774" s="4"/>
    </row>
    <row r="4775" spans="10:11" ht="15.75" customHeight="1">
      <c r="J4775" s="4"/>
      <c r="K4775" s="4"/>
    </row>
    <row r="4776" spans="10:11" ht="15.75" customHeight="1">
      <c r="J4776" s="4"/>
      <c r="K4776" s="4"/>
    </row>
    <row r="4777" spans="10:11" ht="15.75" customHeight="1">
      <c r="J4777" s="4"/>
      <c r="K4777" s="4"/>
    </row>
    <row r="4778" spans="10:11" ht="15.75" customHeight="1">
      <c r="J4778" s="4"/>
      <c r="K4778" s="4"/>
    </row>
    <row r="4779" spans="10:11" ht="15.75" customHeight="1">
      <c r="J4779" s="4"/>
      <c r="K4779" s="4"/>
    </row>
    <row r="4780" spans="10:11" ht="15.75" customHeight="1">
      <c r="J4780" s="4"/>
      <c r="K4780" s="4"/>
    </row>
    <row r="4781" spans="10:11" ht="15.75" customHeight="1">
      <c r="J4781" s="4"/>
      <c r="K4781" s="4"/>
    </row>
    <row r="4782" spans="10:11" ht="15.75" customHeight="1">
      <c r="J4782" s="4"/>
      <c r="K4782" s="4"/>
    </row>
    <row r="4783" spans="10:11" ht="15.75" customHeight="1">
      <c r="J4783" s="4"/>
      <c r="K4783" s="4"/>
    </row>
    <row r="4784" spans="10:11" ht="15.75" customHeight="1">
      <c r="J4784" s="4"/>
      <c r="K4784" s="4"/>
    </row>
    <row r="4785" spans="10:11" ht="15.75" customHeight="1">
      <c r="J4785" s="4"/>
      <c r="K4785" s="4"/>
    </row>
    <row r="4786" spans="10:11" ht="15.75" customHeight="1">
      <c r="J4786" s="4"/>
      <c r="K4786" s="4"/>
    </row>
    <row r="4787" spans="10:11" ht="15.75" customHeight="1">
      <c r="J4787" s="4"/>
      <c r="K4787" s="4"/>
    </row>
    <row r="4788" spans="10:11" ht="15.75" customHeight="1">
      <c r="J4788" s="4"/>
      <c r="K4788" s="4"/>
    </row>
    <row r="4789" spans="10:11" ht="15.75" customHeight="1">
      <c r="J4789" s="4"/>
      <c r="K4789" s="4"/>
    </row>
    <row r="4790" spans="10:11" ht="15.75" customHeight="1">
      <c r="J4790" s="4"/>
      <c r="K4790" s="4"/>
    </row>
    <row r="4791" spans="10:11" ht="15.75" customHeight="1">
      <c r="J4791" s="4"/>
      <c r="K4791" s="4"/>
    </row>
    <row r="4792" spans="10:11" ht="15.75" customHeight="1">
      <c r="J4792" s="4"/>
      <c r="K4792" s="4"/>
    </row>
    <row r="4793" spans="10:11" ht="15.75" customHeight="1">
      <c r="J4793" s="4"/>
      <c r="K4793" s="4"/>
    </row>
    <row r="4794" spans="10:11" ht="15.75" customHeight="1">
      <c r="J4794" s="4"/>
      <c r="K4794" s="4"/>
    </row>
    <row r="4795" spans="10:11" ht="15.75" customHeight="1">
      <c r="J4795" s="4"/>
      <c r="K4795" s="4"/>
    </row>
    <row r="4796" spans="10:11" ht="15.75" customHeight="1">
      <c r="J4796" s="4"/>
      <c r="K4796" s="4"/>
    </row>
    <row r="4797" spans="10:11" ht="15.75" customHeight="1">
      <c r="J4797" s="4"/>
      <c r="K4797" s="4"/>
    </row>
    <row r="4798" spans="10:11" ht="15.75" customHeight="1">
      <c r="J4798" s="4"/>
      <c r="K4798" s="4"/>
    </row>
    <row r="4799" spans="10:11" ht="15.75" customHeight="1">
      <c r="J4799" s="4"/>
      <c r="K4799" s="4"/>
    </row>
    <row r="4800" spans="10:11" ht="15.75" customHeight="1">
      <c r="J4800" s="4"/>
      <c r="K4800" s="4"/>
    </row>
    <row r="4801" spans="10:11" ht="15.75" customHeight="1">
      <c r="J4801" s="4"/>
      <c r="K4801" s="4"/>
    </row>
    <row r="4802" spans="10:11" ht="15.75" customHeight="1">
      <c r="J4802" s="4"/>
      <c r="K4802" s="4"/>
    </row>
    <row r="4803" spans="10:11" ht="15.75" customHeight="1">
      <c r="J4803" s="4"/>
      <c r="K4803" s="4"/>
    </row>
    <row r="4804" spans="10:11" ht="15.75" customHeight="1">
      <c r="J4804" s="4"/>
      <c r="K4804" s="4"/>
    </row>
    <row r="4805" spans="10:11" ht="15.75" customHeight="1">
      <c r="J4805" s="4"/>
      <c r="K4805" s="4"/>
    </row>
    <row r="4806" spans="10:11" ht="15.75" customHeight="1">
      <c r="J4806" s="4"/>
      <c r="K4806" s="4"/>
    </row>
    <row r="4807" spans="10:11" ht="15.75" customHeight="1">
      <c r="J4807" s="4"/>
      <c r="K4807" s="4"/>
    </row>
    <row r="4808" spans="10:11" ht="15.75" customHeight="1">
      <c r="J4808" s="4"/>
      <c r="K4808" s="4"/>
    </row>
    <row r="4809" spans="10:11" ht="15.75" customHeight="1">
      <c r="J4809" s="4"/>
      <c r="K4809" s="4"/>
    </row>
    <row r="4810" spans="10:11" ht="15.75" customHeight="1">
      <c r="J4810" s="4"/>
      <c r="K4810" s="4"/>
    </row>
    <row r="4811" spans="10:11" ht="15.75" customHeight="1">
      <c r="J4811" s="4"/>
      <c r="K4811" s="4"/>
    </row>
    <row r="4812" spans="10:11" ht="15.75" customHeight="1">
      <c r="J4812" s="4"/>
      <c r="K4812" s="4"/>
    </row>
    <row r="4813" spans="10:11" ht="15.75" customHeight="1">
      <c r="J4813" s="4"/>
      <c r="K4813" s="4"/>
    </row>
    <row r="4814" spans="10:11" ht="15.75" customHeight="1">
      <c r="J4814" s="4"/>
      <c r="K4814" s="4"/>
    </row>
    <row r="4815" spans="10:11" ht="15.75" customHeight="1">
      <c r="J4815" s="4"/>
      <c r="K4815" s="4"/>
    </row>
    <row r="4816" spans="10:11" ht="15.75" customHeight="1">
      <c r="J4816" s="4"/>
      <c r="K4816" s="4"/>
    </row>
    <row r="4817" spans="10:11" ht="15.75" customHeight="1">
      <c r="J4817" s="4"/>
      <c r="K4817" s="4"/>
    </row>
    <row r="4818" spans="10:11" ht="15.75" customHeight="1">
      <c r="J4818" s="4"/>
      <c r="K4818" s="4"/>
    </row>
    <row r="4819" spans="10:11" ht="15.75" customHeight="1">
      <c r="J4819" s="4"/>
      <c r="K4819" s="4"/>
    </row>
    <row r="4820" spans="10:11" ht="15.75" customHeight="1">
      <c r="J4820" s="4"/>
      <c r="K4820" s="4"/>
    </row>
    <row r="4821" spans="10:11" ht="15.75" customHeight="1">
      <c r="J4821" s="4"/>
      <c r="K4821" s="4"/>
    </row>
    <row r="4822" spans="10:11" ht="15.75" customHeight="1">
      <c r="J4822" s="4"/>
      <c r="K4822" s="4"/>
    </row>
    <row r="4823" spans="10:11" ht="15.75" customHeight="1">
      <c r="J4823" s="4"/>
      <c r="K4823" s="4"/>
    </row>
    <row r="4824" spans="10:11" ht="15.75" customHeight="1">
      <c r="J4824" s="4"/>
      <c r="K4824" s="4"/>
    </row>
    <row r="4825" spans="10:11" ht="15.75" customHeight="1">
      <c r="J4825" s="4"/>
      <c r="K4825" s="4"/>
    </row>
    <row r="4826" spans="10:11" ht="15.75" customHeight="1">
      <c r="J4826" s="4"/>
      <c r="K4826" s="4"/>
    </row>
    <row r="4827" spans="10:11" ht="15.75" customHeight="1">
      <c r="J4827" s="4"/>
      <c r="K4827" s="4"/>
    </row>
    <row r="4828" spans="10:11" ht="15.75" customHeight="1">
      <c r="J4828" s="4"/>
      <c r="K4828" s="4"/>
    </row>
    <row r="4829" spans="10:11" ht="15.75" customHeight="1">
      <c r="J4829" s="4"/>
      <c r="K4829" s="4"/>
    </row>
    <row r="4830" spans="10:11" ht="15.75" customHeight="1">
      <c r="J4830" s="4"/>
      <c r="K4830" s="4"/>
    </row>
    <row r="4831" spans="10:11" ht="15.75" customHeight="1">
      <c r="J4831" s="4"/>
      <c r="K4831" s="4"/>
    </row>
    <row r="4832" spans="10:11" ht="15.75" customHeight="1">
      <c r="J4832" s="4"/>
      <c r="K4832" s="4"/>
    </row>
    <row r="4833" spans="10:11" ht="15.75" customHeight="1">
      <c r="J4833" s="4"/>
      <c r="K4833" s="4"/>
    </row>
    <row r="4834" spans="10:11" ht="15.75" customHeight="1">
      <c r="J4834" s="4"/>
      <c r="K4834" s="4"/>
    </row>
    <row r="4835" spans="10:11" ht="15.75" customHeight="1">
      <c r="J4835" s="4"/>
      <c r="K4835" s="4"/>
    </row>
    <row r="4836" spans="10:11" ht="15.75" customHeight="1">
      <c r="J4836" s="4"/>
      <c r="K4836" s="4"/>
    </row>
    <row r="4837" spans="10:11" ht="15.75" customHeight="1">
      <c r="J4837" s="4"/>
      <c r="K4837" s="4"/>
    </row>
    <row r="4838" spans="10:11" ht="15.75" customHeight="1">
      <c r="J4838" s="4"/>
      <c r="K4838" s="4"/>
    </row>
    <row r="4839" spans="10:11" ht="15.75" customHeight="1">
      <c r="J4839" s="4"/>
      <c r="K4839" s="4"/>
    </row>
    <row r="4840" spans="10:11" ht="15.75" customHeight="1">
      <c r="J4840" s="4"/>
      <c r="K4840" s="4"/>
    </row>
    <row r="4841" spans="10:11" ht="15.75" customHeight="1">
      <c r="J4841" s="4"/>
      <c r="K4841" s="4"/>
    </row>
    <row r="4842" spans="10:11" ht="15.75" customHeight="1">
      <c r="J4842" s="4"/>
      <c r="K4842" s="4"/>
    </row>
    <row r="4843" spans="10:11" ht="15.75" customHeight="1">
      <c r="J4843" s="4"/>
      <c r="K4843" s="4"/>
    </row>
    <row r="4844" spans="10:11" ht="15.75" customHeight="1">
      <c r="J4844" s="4"/>
      <c r="K4844" s="4"/>
    </row>
    <row r="4845" spans="10:11" ht="15.75" customHeight="1">
      <c r="J4845" s="4"/>
      <c r="K4845" s="4"/>
    </row>
    <row r="4846" spans="10:11" ht="15.75" customHeight="1">
      <c r="J4846" s="4"/>
      <c r="K4846" s="4"/>
    </row>
    <row r="4847" spans="10:11" ht="15.75" customHeight="1">
      <c r="J4847" s="4"/>
      <c r="K4847" s="4"/>
    </row>
    <row r="4848" spans="10:11" ht="15.75" customHeight="1">
      <c r="J4848" s="4"/>
      <c r="K4848" s="4"/>
    </row>
    <row r="4849" spans="10:11" ht="15.75" customHeight="1">
      <c r="J4849" s="4"/>
      <c r="K4849" s="4"/>
    </row>
    <row r="4850" spans="10:11" ht="15.75" customHeight="1">
      <c r="J4850" s="4"/>
      <c r="K4850" s="4"/>
    </row>
    <row r="4851" spans="10:11" ht="15.75" customHeight="1">
      <c r="J4851" s="4"/>
      <c r="K4851" s="4"/>
    </row>
    <row r="4852" spans="10:11" ht="15.75" customHeight="1">
      <c r="J4852" s="4"/>
      <c r="K4852" s="4"/>
    </row>
    <row r="4853" spans="10:11" ht="15.75" customHeight="1">
      <c r="J4853" s="4"/>
      <c r="K4853" s="4"/>
    </row>
    <row r="4854" spans="10:11" ht="15.75" customHeight="1">
      <c r="J4854" s="4"/>
      <c r="K4854" s="4"/>
    </row>
    <row r="4855" spans="10:11" ht="15.75" customHeight="1">
      <c r="J4855" s="4"/>
      <c r="K4855" s="4"/>
    </row>
    <row r="4856" spans="10:11" ht="15.75" customHeight="1">
      <c r="J4856" s="4"/>
      <c r="K4856" s="4"/>
    </row>
    <row r="4857" spans="10:11" ht="15.75" customHeight="1">
      <c r="J4857" s="4"/>
      <c r="K4857" s="4"/>
    </row>
    <row r="4858" spans="10:11" ht="15.75" customHeight="1">
      <c r="J4858" s="4"/>
      <c r="K4858" s="4"/>
    </row>
    <row r="4859" spans="10:11" ht="15.75" customHeight="1">
      <c r="J4859" s="4"/>
      <c r="K4859" s="4"/>
    </row>
    <row r="4860" spans="10:11" ht="15.75" customHeight="1">
      <c r="J4860" s="4"/>
      <c r="K4860" s="4"/>
    </row>
    <row r="4861" spans="10:11" ht="15.75" customHeight="1">
      <c r="J4861" s="4"/>
      <c r="K4861" s="4"/>
    </row>
    <row r="4862" spans="10:11" ht="15.75" customHeight="1">
      <c r="J4862" s="4"/>
      <c r="K4862" s="4"/>
    </row>
    <row r="4863" spans="10:11" ht="15.75" customHeight="1">
      <c r="J4863" s="4"/>
      <c r="K4863" s="4"/>
    </row>
    <row r="4864" spans="10:11" ht="15.75" customHeight="1">
      <c r="J4864" s="4"/>
      <c r="K4864" s="4"/>
    </row>
    <row r="4865" spans="10:11" ht="15.75" customHeight="1">
      <c r="J4865" s="4"/>
      <c r="K4865" s="4"/>
    </row>
    <row r="4866" spans="10:11" ht="15.75" customHeight="1">
      <c r="J4866" s="4"/>
      <c r="K4866" s="4"/>
    </row>
    <row r="4867" spans="10:11" ht="15.75" customHeight="1">
      <c r="J4867" s="4"/>
      <c r="K4867" s="4"/>
    </row>
    <row r="4868" spans="10:11" ht="15.75" customHeight="1">
      <c r="J4868" s="4"/>
      <c r="K4868" s="4"/>
    </row>
    <row r="4869" spans="10:11" ht="15.75" customHeight="1">
      <c r="J4869" s="4"/>
      <c r="K4869" s="4"/>
    </row>
    <row r="4870" spans="10:11" ht="15.75" customHeight="1">
      <c r="J4870" s="4"/>
      <c r="K4870" s="4"/>
    </row>
    <row r="4871" spans="10:11" ht="15.75" customHeight="1">
      <c r="J4871" s="4"/>
      <c r="K4871" s="4"/>
    </row>
    <row r="4872" spans="10:11" ht="15.75" customHeight="1">
      <c r="J4872" s="4"/>
      <c r="K4872" s="4"/>
    </row>
    <row r="4873" spans="10:11" ht="15.75" customHeight="1">
      <c r="J4873" s="4"/>
      <c r="K4873" s="4"/>
    </row>
    <row r="4874" spans="10:11" ht="15.75" customHeight="1">
      <c r="J4874" s="4"/>
      <c r="K4874" s="4"/>
    </row>
    <row r="4875" spans="10:11" ht="15.75" customHeight="1">
      <c r="J4875" s="4"/>
      <c r="K4875" s="4"/>
    </row>
    <row r="4876" spans="10:11" ht="15.75" customHeight="1">
      <c r="J4876" s="4"/>
      <c r="K4876" s="4"/>
    </row>
    <row r="4877" spans="10:11" ht="15.75" customHeight="1">
      <c r="J4877" s="4"/>
      <c r="K4877" s="4"/>
    </row>
    <row r="4878" spans="10:11" ht="15.75" customHeight="1">
      <c r="J4878" s="4"/>
      <c r="K4878" s="4"/>
    </row>
    <row r="4879" spans="10:11" ht="15.75" customHeight="1">
      <c r="J4879" s="4"/>
      <c r="K4879" s="4"/>
    </row>
    <row r="4880" spans="10:11" ht="15.75" customHeight="1">
      <c r="J4880" s="4"/>
      <c r="K4880" s="4"/>
    </row>
    <row r="4881" spans="10:11" ht="15.75" customHeight="1">
      <c r="J4881" s="4"/>
      <c r="K4881" s="4"/>
    </row>
    <row r="4882" spans="10:11" ht="15.75" customHeight="1">
      <c r="J4882" s="4"/>
      <c r="K4882" s="4"/>
    </row>
    <row r="4883" spans="10:11" ht="15.75" customHeight="1">
      <c r="J4883" s="4"/>
      <c r="K4883" s="4"/>
    </row>
    <row r="4884" spans="10:11" ht="15.75" customHeight="1">
      <c r="J4884" s="4"/>
      <c r="K4884" s="4"/>
    </row>
    <row r="4885" spans="10:11" ht="15.75" customHeight="1">
      <c r="J4885" s="4"/>
      <c r="K4885" s="4"/>
    </row>
    <row r="4886" spans="10:11" ht="15.75" customHeight="1">
      <c r="J4886" s="4"/>
      <c r="K4886" s="4"/>
    </row>
    <row r="4887" spans="10:11" ht="15.75" customHeight="1">
      <c r="J4887" s="4"/>
      <c r="K4887" s="4"/>
    </row>
    <row r="4888" spans="10:11" ht="15.75" customHeight="1">
      <c r="J4888" s="4"/>
      <c r="K4888" s="4"/>
    </row>
    <row r="4889" spans="10:11" ht="15.75" customHeight="1">
      <c r="J4889" s="4"/>
      <c r="K4889" s="4"/>
    </row>
    <row r="4890" spans="10:11" ht="15.75" customHeight="1">
      <c r="J4890" s="4"/>
      <c r="K4890" s="4"/>
    </row>
    <row r="4891" spans="10:11" ht="15.75" customHeight="1">
      <c r="J4891" s="4"/>
      <c r="K4891" s="4"/>
    </row>
    <row r="4892" spans="10:11" ht="15.75" customHeight="1">
      <c r="J4892" s="4"/>
      <c r="K4892" s="4"/>
    </row>
    <row r="4893" spans="10:11" ht="15.75" customHeight="1">
      <c r="J4893" s="4"/>
      <c r="K4893" s="4"/>
    </row>
    <row r="4894" spans="10:11" ht="15.75" customHeight="1">
      <c r="J4894" s="4"/>
      <c r="K4894" s="4"/>
    </row>
    <row r="4895" spans="10:11" ht="15.75" customHeight="1">
      <c r="J4895" s="4"/>
      <c r="K4895" s="4"/>
    </row>
    <row r="4896" spans="10:11" ht="15.75" customHeight="1">
      <c r="J4896" s="4"/>
      <c r="K4896" s="4"/>
    </row>
    <row r="4897" spans="10:11" ht="15.75" customHeight="1">
      <c r="J4897" s="4"/>
      <c r="K4897" s="4"/>
    </row>
    <row r="4898" spans="10:11" ht="15.75" customHeight="1">
      <c r="J4898" s="4"/>
      <c r="K4898" s="4"/>
    </row>
    <row r="4899" spans="10:11" ht="15.75" customHeight="1">
      <c r="J4899" s="4"/>
      <c r="K4899" s="4"/>
    </row>
    <row r="4900" spans="10:11" ht="15.75" customHeight="1">
      <c r="J4900" s="4"/>
      <c r="K4900" s="4"/>
    </row>
    <row r="4901" spans="10:11" ht="15.75" customHeight="1">
      <c r="J4901" s="4"/>
      <c r="K4901" s="4"/>
    </row>
    <row r="4902" spans="10:11" ht="15.75" customHeight="1">
      <c r="J4902" s="4"/>
      <c r="K4902" s="4"/>
    </row>
    <row r="4903" spans="10:11" ht="15.75" customHeight="1">
      <c r="J4903" s="4"/>
      <c r="K4903" s="4"/>
    </row>
    <row r="4904" spans="10:11" ht="15.75" customHeight="1">
      <c r="J4904" s="4"/>
      <c r="K4904" s="4"/>
    </row>
    <row r="4905" spans="10:11" ht="15.75" customHeight="1">
      <c r="J4905" s="4"/>
      <c r="K4905" s="4"/>
    </row>
    <row r="4906" spans="10:11" ht="15.75" customHeight="1">
      <c r="J4906" s="4"/>
      <c r="K4906" s="4"/>
    </row>
    <row r="4907" spans="10:11" ht="15.75" customHeight="1">
      <c r="J4907" s="4"/>
      <c r="K4907" s="4"/>
    </row>
    <row r="4908" spans="10:11" ht="15.75" customHeight="1">
      <c r="J4908" s="4"/>
      <c r="K4908" s="4"/>
    </row>
    <row r="4909" spans="10:11" ht="15.75" customHeight="1">
      <c r="J4909" s="4"/>
      <c r="K4909" s="4"/>
    </row>
    <row r="4910" spans="10:11" ht="15.75" customHeight="1">
      <c r="J4910" s="4"/>
      <c r="K4910" s="4"/>
    </row>
    <row r="4911" spans="10:11" ht="15.75" customHeight="1">
      <c r="J4911" s="4"/>
      <c r="K4911" s="4"/>
    </row>
    <row r="4912" spans="10:11" ht="15.75" customHeight="1">
      <c r="J4912" s="4"/>
      <c r="K4912" s="4"/>
    </row>
    <row r="4913" spans="10:11" ht="15.75" customHeight="1">
      <c r="J4913" s="4"/>
      <c r="K4913" s="4"/>
    </row>
    <row r="4914" spans="10:11" ht="15.75" customHeight="1">
      <c r="J4914" s="4"/>
      <c r="K4914" s="4"/>
    </row>
    <row r="4915" spans="10:11" ht="15.75" customHeight="1">
      <c r="J4915" s="4"/>
      <c r="K4915" s="4"/>
    </row>
    <row r="4916" spans="10:11" ht="15.75" customHeight="1">
      <c r="J4916" s="4"/>
      <c r="K4916" s="4"/>
    </row>
    <row r="4917" spans="10:11" ht="15.75" customHeight="1">
      <c r="J4917" s="4"/>
      <c r="K4917" s="4"/>
    </row>
    <row r="4918" spans="10:11" ht="15.75" customHeight="1">
      <c r="J4918" s="4"/>
      <c r="K4918" s="4"/>
    </row>
    <row r="4919" spans="10:11" ht="15.75" customHeight="1">
      <c r="J4919" s="4"/>
      <c r="K4919" s="4"/>
    </row>
    <row r="4920" spans="10:11" ht="15.75" customHeight="1">
      <c r="J4920" s="4"/>
      <c r="K4920" s="4"/>
    </row>
    <row r="4921" spans="10:11" ht="15.75" customHeight="1">
      <c r="J4921" s="4"/>
      <c r="K4921" s="4"/>
    </row>
    <row r="4922" spans="10:11" ht="15.75" customHeight="1">
      <c r="J4922" s="4"/>
      <c r="K4922" s="4"/>
    </row>
    <row r="4923" spans="10:11" ht="15.75" customHeight="1">
      <c r="J4923" s="4"/>
      <c r="K4923" s="4"/>
    </row>
    <row r="4924" spans="10:11" ht="15.75" customHeight="1">
      <c r="J4924" s="4"/>
      <c r="K4924" s="4"/>
    </row>
    <row r="4925" spans="10:11" ht="15.75" customHeight="1">
      <c r="J4925" s="4"/>
      <c r="K4925" s="4"/>
    </row>
    <row r="4926" spans="10:11" ht="15.75" customHeight="1">
      <c r="J4926" s="4"/>
      <c r="K4926" s="4"/>
    </row>
    <row r="4927" spans="10:11" ht="15.75" customHeight="1">
      <c r="J4927" s="4"/>
      <c r="K4927" s="4"/>
    </row>
    <row r="4928" spans="10:11" ht="15.75" customHeight="1">
      <c r="J4928" s="4"/>
      <c r="K4928" s="4"/>
    </row>
    <row r="4929" spans="10:11" ht="15.75" customHeight="1">
      <c r="J4929" s="4"/>
      <c r="K4929" s="4"/>
    </row>
    <row r="4930" spans="10:11" ht="15.75" customHeight="1">
      <c r="J4930" s="4"/>
      <c r="K4930" s="4"/>
    </row>
    <row r="4931" spans="10:11" ht="15.75" customHeight="1">
      <c r="J4931" s="4"/>
      <c r="K4931" s="4"/>
    </row>
    <row r="4932" spans="10:11" ht="15.75" customHeight="1">
      <c r="J4932" s="4"/>
      <c r="K4932" s="4"/>
    </row>
    <row r="4933" spans="10:11" ht="15.75" customHeight="1">
      <c r="J4933" s="4"/>
      <c r="K4933" s="4"/>
    </row>
    <row r="4934" spans="10:11" ht="15.75" customHeight="1">
      <c r="J4934" s="4"/>
      <c r="K4934" s="4"/>
    </row>
    <row r="4935" spans="10:11" ht="15.75" customHeight="1">
      <c r="J4935" s="4"/>
      <c r="K4935" s="4"/>
    </row>
    <row r="4936" spans="10:11" ht="15.75" customHeight="1">
      <c r="J4936" s="4"/>
      <c r="K4936" s="4"/>
    </row>
    <row r="4937" spans="10:11" ht="15.75" customHeight="1">
      <c r="J4937" s="4"/>
      <c r="K4937" s="4"/>
    </row>
    <row r="4938" spans="10:11" ht="15.75" customHeight="1">
      <c r="J4938" s="4"/>
      <c r="K4938" s="4"/>
    </row>
    <row r="4939" spans="10:11" ht="15.75" customHeight="1">
      <c r="J4939" s="4"/>
      <c r="K4939" s="4"/>
    </row>
    <row r="4940" spans="10:11" ht="15.75" customHeight="1">
      <c r="J4940" s="4"/>
      <c r="K4940" s="4"/>
    </row>
    <row r="4941" spans="10:11" ht="15.75" customHeight="1">
      <c r="J4941" s="4"/>
      <c r="K4941" s="4"/>
    </row>
    <row r="4942" spans="10:11" ht="15.75" customHeight="1">
      <c r="J4942" s="4"/>
      <c r="K4942" s="4"/>
    </row>
    <row r="4943" spans="10:11" ht="15.75" customHeight="1">
      <c r="J4943" s="4"/>
      <c r="K4943" s="4"/>
    </row>
    <row r="4944" spans="10:11" ht="15.75" customHeight="1">
      <c r="J4944" s="4"/>
      <c r="K4944" s="4"/>
    </row>
    <row r="4945" spans="10:11" ht="15.75" customHeight="1">
      <c r="J4945" s="4"/>
      <c r="K4945" s="4"/>
    </row>
    <row r="4946" spans="10:11" ht="15.75" customHeight="1">
      <c r="J4946" s="4"/>
      <c r="K4946" s="4"/>
    </row>
    <row r="4947" spans="10:11" ht="15.75" customHeight="1">
      <c r="J4947" s="4"/>
      <c r="K4947" s="4"/>
    </row>
    <row r="4948" spans="10:11" ht="15.75" customHeight="1">
      <c r="J4948" s="4"/>
      <c r="K4948" s="4"/>
    </row>
    <row r="4949" spans="10:11" ht="15.75" customHeight="1">
      <c r="J4949" s="4"/>
      <c r="K4949" s="4"/>
    </row>
    <row r="4950" spans="10:11" ht="15.75" customHeight="1">
      <c r="J4950" s="4"/>
      <c r="K4950" s="4"/>
    </row>
    <row r="4951" spans="10:11" ht="15.75" customHeight="1">
      <c r="J4951" s="4"/>
      <c r="K4951" s="4"/>
    </row>
    <row r="4952" spans="10:11" ht="15.75" customHeight="1">
      <c r="J4952" s="4"/>
      <c r="K4952" s="4"/>
    </row>
    <row r="4953" spans="10:11" ht="15.75" customHeight="1">
      <c r="J4953" s="4"/>
      <c r="K4953" s="4"/>
    </row>
    <row r="4954" spans="10:11" ht="15.75" customHeight="1">
      <c r="J4954" s="4"/>
      <c r="K4954" s="4"/>
    </row>
    <row r="4955" spans="10:11" ht="15.75" customHeight="1">
      <c r="J4955" s="4"/>
      <c r="K4955" s="4"/>
    </row>
    <row r="4956" spans="10:11" ht="15.75" customHeight="1">
      <c r="J4956" s="4"/>
      <c r="K4956" s="4"/>
    </row>
    <row r="4957" spans="10:11" ht="15.75" customHeight="1">
      <c r="J4957" s="4"/>
      <c r="K4957" s="4"/>
    </row>
    <row r="4958" spans="10:11" ht="15.75" customHeight="1">
      <c r="J4958" s="4"/>
      <c r="K4958" s="4"/>
    </row>
    <row r="4959" spans="10:11" ht="15.75" customHeight="1">
      <c r="J4959" s="4"/>
      <c r="K4959" s="4"/>
    </row>
    <row r="4960" spans="10:11" ht="15.75" customHeight="1">
      <c r="J4960" s="4"/>
      <c r="K4960" s="4"/>
    </row>
    <row r="4961" spans="10:11" ht="15.75" customHeight="1">
      <c r="J4961" s="4"/>
      <c r="K4961" s="4"/>
    </row>
    <row r="4962" spans="10:11" ht="15.75" customHeight="1">
      <c r="J4962" s="4"/>
      <c r="K4962" s="4"/>
    </row>
    <row r="4963" spans="10:11" ht="15.75" customHeight="1">
      <c r="J4963" s="4"/>
      <c r="K4963" s="4"/>
    </row>
    <row r="4964" spans="10:11" ht="15.75" customHeight="1">
      <c r="J4964" s="4"/>
      <c r="K4964" s="4"/>
    </row>
    <row r="4965" spans="10:11" ht="15.75" customHeight="1">
      <c r="J4965" s="4"/>
      <c r="K4965" s="4"/>
    </row>
    <row r="4966" spans="10:11" ht="15.75" customHeight="1">
      <c r="J4966" s="4"/>
      <c r="K4966" s="4"/>
    </row>
    <row r="4967" spans="10:11" ht="15.75" customHeight="1">
      <c r="J4967" s="4"/>
      <c r="K4967" s="4"/>
    </row>
    <row r="4968" spans="10:11" ht="15.75" customHeight="1">
      <c r="J4968" s="4"/>
      <c r="K4968" s="4"/>
    </row>
    <row r="4969" spans="10:11" ht="15.75" customHeight="1">
      <c r="J4969" s="4"/>
      <c r="K4969" s="4"/>
    </row>
    <row r="4970" spans="10:11" ht="15.75" customHeight="1">
      <c r="J4970" s="4"/>
      <c r="K4970" s="4"/>
    </row>
    <row r="4971" spans="10:11" ht="15.75" customHeight="1">
      <c r="J4971" s="4"/>
      <c r="K4971" s="4"/>
    </row>
    <row r="4972" spans="10:11" ht="15.75" customHeight="1">
      <c r="J4972" s="4"/>
      <c r="K4972" s="4"/>
    </row>
    <row r="4973" spans="10:11" ht="15.75" customHeight="1">
      <c r="J4973" s="4"/>
      <c r="K4973" s="4"/>
    </row>
    <row r="4974" spans="10:11" ht="15.75" customHeight="1">
      <c r="J4974" s="4"/>
      <c r="K4974" s="4"/>
    </row>
    <row r="4975" spans="10:11" ht="15.75" customHeight="1">
      <c r="J4975" s="4"/>
      <c r="K4975" s="4"/>
    </row>
    <row r="4976" spans="10:11" ht="15.75" customHeight="1">
      <c r="J4976" s="4"/>
      <c r="K4976" s="4"/>
    </row>
    <row r="4977" spans="10:11" ht="15.75" customHeight="1">
      <c r="J4977" s="4"/>
      <c r="K4977" s="4"/>
    </row>
    <row r="4978" spans="10:11" ht="15.75" customHeight="1">
      <c r="J4978" s="4"/>
      <c r="K4978" s="4"/>
    </row>
    <row r="4979" spans="10:11" ht="15.75" customHeight="1">
      <c r="J4979" s="4"/>
      <c r="K4979" s="4"/>
    </row>
    <row r="4980" spans="10:11" ht="15.75" customHeight="1">
      <c r="J4980" s="4"/>
      <c r="K4980" s="4"/>
    </row>
    <row r="4981" spans="10:11" ht="15.75" customHeight="1">
      <c r="J4981" s="4"/>
      <c r="K4981" s="4"/>
    </row>
    <row r="4982" spans="10:11" ht="15.75" customHeight="1">
      <c r="J4982" s="4"/>
      <c r="K4982" s="4"/>
    </row>
    <row r="4983" spans="10:11" ht="15.75" customHeight="1">
      <c r="J4983" s="4"/>
      <c r="K4983" s="4"/>
    </row>
    <row r="4984" spans="10:11" ht="15.75" customHeight="1">
      <c r="J4984" s="4"/>
      <c r="K4984" s="4"/>
    </row>
    <row r="4985" spans="10:11" ht="15.75" customHeight="1">
      <c r="J4985" s="4"/>
      <c r="K4985" s="4"/>
    </row>
    <row r="4986" spans="10:11" ht="15.75" customHeight="1">
      <c r="J4986" s="4"/>
      <c r="K4986" s="4"/>
    </row>
    <row r="4987" spans="10:11" ht="15.75" customHeight="1">
      <c r="J4987" s="4"/>
      <c r="K4987" s="4"/>
    </row>
    <row r="4988" spans="10:11" ht="15.75" customHeight="1">
      <c r="J4988" s="4"/>
      <c r="K4988" s="4"/>
    </row>
    <row r="4989" spans="10:11" ht="15.75" customHeight="1">
      <c r="J4989" s="4"/>
      <c r="K4989" s="4"/>
    </row>
    <row r="4990" spans="10:11" ht="15.75" customHeight="1">
      <c r="J4990" s="4"/>
      <c r="K4990" s="4"/>
    </row>
    <row r="4991" spans="10:11" ht="15.75" customHeight="1">
      <c r="J4991" s="4"/>
      <c r="K4991" s="4"/>
    </row>
    <row r="4992" spans="10:11" ht="15.75" customHeight="1">
      <c r="J4992" s="4"/>
      <c r="K4992" s="4"/>
    </row>
    <row r="4993" spans="10:11" ht="15.75" customHeight="1">
      <c r="J4993" s="4"/>
      <c r="K4993" s="4"/>
    </row>
    <row r="4994" spans="10:11" ht="15.75" customHeight="1">
      <c r="J4994" s="4"/>
      <c r="K4994" s="4"/>
    </row>
    <row r="4995" spans="10:11" ht="15.75" customHeight="1">
      <c r="J4995" s="4"/>
      <c r="K4995" s="4"/>
    </row>
    <row r="4996" spans="10:11" ht="15.75" customHeight="1">
      <c r="J4996" s="4"/>
      <c r="K4996" s="4"/>
    </row>
    <row r="4997" spans="10:11" ht="15.75" customHeight="1">
      <c r="J4997" s="4"/>
      <c r="K4997" s="4"/>
    </row>
    <row r="4998" spans="10:11" ht="15.75" customHeight="1">
      <c r="J4998" s="4"/>
      <c r="K4998" s="4"/>
    </row>
    <row r="4999" spans="10:11" ht="15.75" customHeight="1">
      <c r="J4999" s="4"/>
      <c r="K4999" s="4"/>
    </row>
    <row r="5000" spans="10:11" ht="15.75" customHeight="1">
      <c r="J5000" s="4"/>
      <c r="K5000" s="4"/>
    </row>
    <row r="5001" spans="10:11" ht="15.75" customHeight="1">
      <c r="J5001" s="4"/>
      <c r="K5001" s="4"/>
    </row>
    <row r="5002" spans="10:11" ht="15.75" customHeight="1">
      <c r="J5002" s="4"/>
      <c r="K5002" s="4"/>
    </row>
    <row r="5003" spans="10:11" ht="15.75" customHeight="1">
      <c r="J5003" s="4"/>
      <c r="K5003" s="4"/>
    </row>
    <row r="5004" spans="10:11" ht="15.75" customHeight="1">
      <c r="J5004" s="4"/>
      <c r="K5004" s="4"/>
    </row>
    <row r="5005" spans="10:11" ht="15.75" customHeight="1">
      <c r="J5005" s="4"/>
      <c r="K5005" s="4"/>
    </row>
    <row r="5006" spans="10:11" ht="15.75" customHeight="1">
      <c r="J5006" s="4"/>
      <c r="K5006" s="4"/>
    </row>
    <row r="5007" spans="10:11" ht="15.75" customHeight="1">
      <c r="J5007" s="4"/>
      <c r="K5007" s="4"/>
    </row>
    <row r="5008" spans="10:11" ht="15.75" customHeight="1">
      <c r="J5008" s="4"/>
      <c r="K5008" s="4"/>
    </row>
    <row r="5009" spans="10:11" ht="15.75" customHeight="1">
      <c r="J5009" s="4"/>
      <c r="K5009" s="4"/>
    </row>
    <row r="5010" spans="10:11" ht="15.75" customHeight="1">
      <c r="J5010" s="4"/>
      <c r="K5010" s="4"/>
    </row>
    <row r="5011" spans="10:11" ht="15.75" customHeight="1">
      <c r="J5011" s="4"/>
      <c r="K5011" s="4"/>
    </row>
    <row r="5012" spans="10:11" ht="15.75" customHeight="1">
      <c r="J5012" s="4"/>
      <c r="K5012" s="4"/>
    </row>
    <row r="5013" spans="10:11" ht="15.75" customHeight="1">
      <c r="J5013" s="4"/>
      <c r="K5013" s="4"/>
    </row>
    <row r="5014" spans="10:11" ht="15.75" customHeight="1">
      <c r="J5014" s="4"/>
      <c r="K5014" s="4"/>
    </row>
    <row r="5015" spans="10:11" ht="15.75" customHeight="1">
      <c r="J5015" s="4"/>
      <c r="K5015" s="4"/>
    </row>
    <row r="5016" spans="10:11" ht="15.75" customHeight="1">
      <c r="J5016" s="4"/>
      <c r="K5016" s="4"/>
    </row>
    <row r="5017" spans="10:11" ht="15.75" customHeight="1">
      <c r="J5017" s="4"/>
      <c r="K5017" s="4"/>
    </row>
    <row r="5018" spans="10:11" ht="15.75" customHeight="1">
      <c r="J5018" s="4"/>
      <c r="K5018" s="4"/>
    </row>
    <row r="5019" spans="10:11" ht="15.75" customHeight="1">
      <c r="J5019" s="4"/>
      <c r="K5019" s="4"/>
    </row>
    <row r="5020" spans="10:11" ht="15.75" customHeight="1">
      <c r="J5020" s="4"/>
      <c r="K5020" s="4"/>
    </row>
    <row r="5021" spans="10:11" ht="15.75" customHeight="1">
      <c r="J5021" s="4"/>
      <c r="K5021" s="4"/>
    </row>
    <row r="5022" spans="10:11" ht="15.75" customHeight="1">
      <c r="J5022" s="4"/>
      <c r="K5022" s="4"/>
    </row>
    <row r="5023" spans="10:11" ht="15.75" customHeight="1">
      <c r="J5023" s="4"/>
      <c r="K5023" s="4"/>
    </row>
    <row r="5024" spans="10:11" ht="15.75" customHeight="1">
      <c r="J5024" s="4"/>
      <c r="K5024" s="4"/>
    </row>
    <row r="5025" spans="10:11" ht="15.75" customHeight="1">
      <c r="J5025" s="4"/>
      <c r="K5025" s="4"/>
    </row>
    <row r="5026" spans="10:11" ht="15.75" customHeight="1">
      <c r="J5026" s="4"/>
      <c r="K5026" s="4"/>
    </row>
    <row r="5027" spans="10:11" ht="15.75" customHeight="1">
      <c r="J5027" s="4"/>
      <c r="K5027" s="4"/>
    </row>
    <row r="5028" spans="10:11" ht="15.75" customHeight="1">
      <c r="J5028" s="4"/>
      <c r="K5028" s="4"/>
    </row>
    <row r="5029" spans="10:11" ht="15.75" customHeight="1">
      <c r="J5029" s="4"/>
      <c r="K5029" s="4"/>
    </row>
    <row r="5030" spans="10:11" ht="15.75" customHeight="1">
      <c r="J5030" s="4"/>
      <c r="K5030" s="4"/>
    </row>
    <row r="5031" spans="10:11" ht="15.75" customHeight="1">
      <c r="J5031" s="4"/>
      <c r="K5031" s="4"/>
    </row>
    <row r="5032" spans="10:11" ht="15.75" customHeight="1">
      <c r="J5032" s="4"/>
      <c r="K5032" s="4"/>
    </row>
    <row r="5033" spans="10:11" ht="15.75" customHeight="1">
      <c r="J5033" s="4"/>
      <c r="K5033" s="4"/>
    </row>
    <row r="5034" spans="10:11" ht="15.75" customHeight="1">
      <c r="J5034" s="4"/>
      <c r="K5034" s="4"/>
    </row>
    <row r="5035" spans="10:11" ht="15.75" customHeight="1">
      <c r="J5035" s="4"/>
      <c r="K5035" s="4"/>
    </row>
    <row r="5036" spans="10:11" ht="15.75" customHeight="1">
      <c r="J5036" s="4"/>
      <c r="K5036" s="4"/>
    </row>
    <row r="5037" spans="10:11" ht="15.75" customHeight="1">
      <c r="J5037" s="4"/>
      <c r="K5037" s="4"/>
    </row>
    <row r="5038" spans="10:11" ht="15.75" customHeight="1">
      <c r="J5038" s="4"/>
      <c r="K5038" s="4"/>
    </row>
    <row r="5039" spans="10:11" ht="15.75" customHeight="1">
      <c r="J5039" s="4"/>
      <c r="K5039" s="4"/>
    </row>
    <row r="5040" spans="10:11" ht="15.75" customHeight="1">
      <c r="J5040" s="4"/>
      <c r="K5040" s="4"/>
    </row>
    <row r="5041" spans="10:11" ht="15.75" customHeight="1">
      <c r="J5041" s="4"/>
      <c r="K5041" s="4"/>
    </row>
    <row r="5042" spans="10:11" ht="15.75" customHeight="1">
      <c r="J5042" s="4"/>
      <c r="K5042" s="4"/>
    </row>
    <row r="5043" spans="10:11" ht="15.75" customHeight="1">
      <c r="J5043" s="4"/>
      <c r="K5043" s="4"/>
    </row>
    <row r="5044" spans="10:11" ht="15.75" customHeight="1">
      <c r="J5044" s="4"/>
      <c r="K5044" s="4"/>
    </row>
    <row r="5045" spans="10:11" ht="15.75" customHeight="1">
      <c r="J5045" s="4"/>
      <c r="K5045" s="4"/>
    </row>
    <row r="5046" spans="10:11" ht="15.75" customHeight="1">
      <c r="J5046" s="4"/>
      <c r="K5046" s="4"/>
    </row>
    <row r="5047" spans="10:11" ht="15.75" customHeight="1">
      <c r="J5047" s="4"/>
      <c r="K5047" s="4"/>
    </row>
    <row r="5048" spans="10:11" ht="15.75" customHeight="1">
      <c r="J5048" s="4"/>
      <c r="K5048" s="4"/>
    </row>
    <row r="5049" spans="10:11" ht="15.75" customHeight="1">
      <c r="J5049" s="4"/>
      <c r="K5049" s="4"/>
    </row>
    <row r="5050" spans="10:11" ht="15.75" customHeight="1">
      <c r="J5050" s="4"/>
      <c r="K5050" s="4"/>
    </row>
    <row r="5051" spans="10:11" ht="15.75" customHeight="1">
      <c r="J5051" s="4"/>
      <c r="K5051" s="4"/>
    </row>
    <row r="5052" spans="10:11" ht="15.75" customHeight="1">
      <c r="J5052" s="4"/>
      <c r="K5052" s="4"/>
    </row>
    <row r="5053" spans="10:11" ht="15.75" customHeight="1">
      <c r="J5053" s="4"/>
      <c r="K5053" s="4"/>
    </row>
    <row r="5054" spans="10:11" ht="15.75" customHeight="1">
      <c r="J5054" s="4"/>
      <c r="K5054" s="4"/>
    </row>
    <row r="5055" spans="10:11" ht="15.75" customHeight="1">
      <c r="J5055" s="4"/>
      <c r="K5055" s="4"/>
    </row>
    <row r="5056" spans="10:11" ht="15.75" customHeight="1">
      <c r="J5056" s="4"/>
      <c r="K5056" s="4"/>
    </row>
    <row r="5057" spans="10:11" ht="15.75" customHeight="1">
      <c r="J5057" s="4"/>
      <c r="K5057" s="4"/>
    </row>
    <row r="5058" spans="10:11" ht="15.75" customHeight="1">
      <c r="J5058" s="4"/>
      <c r="K5058" s="4"/>
    </row>
    <row r="5059" spans="10:11" ht="15.75" customHeight="1">
      <c r="J5059" s="4"/>
      <c r="K5059" s="4"/>
    </row>
    <row r="5060" spans="10:11" ht="15.75" customHeight="1">
      <c r="J5060" s="4"/>
      <c r="K5060" s="4"/>
    </row>
    <row r="5061" spans="10:11" ht="15.75" customHeight="1">
      <c r="J5061" s="4"/>
      <c r="K5061" s="4"/>
    </row>
    <row r="5062" spans="10:11" ht="15.75" customHeight="1">
      <c r="J5062" s="4"/>
      <c r="K5062" s="4"/>
    </row>
    <row r="5063" spans="10:11" ht="15.75" customHeight="1">
      <c r="J5063" s="4"/>
      <c r="K5063" s="4"/>
    </row>
    <row r="5064" spans="10:11" ht="15.75" customHeight="1">
      <c r="J5064" s="4"/>
      <c r="K5064" s="4"/>
    </row>
    <row r="5065" spans="10:11" ht="15.75" customHeight="1">
      <c r="J5065" s="4"/>
      <c r="K5065" s="4"/>
    </row>
    <row r="5066" spans="10:11" ht="15.75" customHeight="1">
      <c r="J5066" s="4"/>
      <c r="K5066" s="4"/>
    </row>
    <row r="5067" spans="10:11" ht="15.75" customHeight="1">
      <c r="J5067" s="4"/>
      <c r="K5067" s="4"/>
    </row>
    <row r="5068" spans="10:11" ht="15.75" customHeight="1">
      <c r="J5068" s="4"/>
      <c r="K5068" s="4"/>
    </row>
    <row r="5069" spans="10:11" ht="15.75" customHeight="1">
      <c r="J5069" s="4"/>
      <c r="K5069" s="4"/>
    </row>
    <row r="5070" spans="10:11" ht="15.75" customHeight="1">
      <c r="J5070" s="4"/>
      <c r="K5070" s="4"/>
    </row>
    <row r="5071" spans="10:11" ht="15.75" customHeight="1">
      <c r="J5071" s="4"/>
      <c r="K5071" s="4"/>
    </row>
    <row r="5072" spans="10:11" ht="15.75" customHeight="1">
      <c r="J5072" s="4"/>
      <c r="K5072" s="4"/>
    </row>
    <row r="5073" spans="10:11" ht="15.75" customHeight="1">
      <c r="J5073" s="4"/>
      <c r="K5073" s="4"/>
    </row>
    <row r="5074" spans="10:11" ht="15.75" customHeight="1">
      <c r="J5074" s="4"/>
      <c r="K5074" s="4"/>
    </row>
    <row r="5075" spans="10:11" ht="15.75" customHeight="1">
      <c r="J5075" s="4"/>
      <c r="K5075" s="4"/>
    </row>
    <row r="5076" spans="10:11" ht="15.75" customHeight="1">
      <c r="J5076" s="4"/>
      <c r="K5076" s="4"/>
    </row>
    <row r="5077" spans="10:11" ht="15.75" customHeight="1">
      <c r="J5077" s="4"/>
      <c r="K5077" s="4"/>
    </row>
    <row r="5078" spans="10:11" ht="15.75" customHeight="1">
      <c r="J5078" s="4"/>
      <c r="K5078" s="4"/>
    </row>
    <row r="5079" spans="10:11" ht="15.75" customHeight="1">
      <c r="J5079" s="4"/>
      <c r="K5079" s="4"/>
    </row>
    <row r="5080" spans="10:11" ht="15.75" customHeight="1">
      <c r="J5080" s="4"/>
      <c r="K5080" s="4"/>
    </row>
    <row r="5081" spans="10:11" ht="15.75" customHeight="1">
      <c r="J5081" s="4"/>
      <c r="K5081" s="4"/>
    </row>
    <row r="5082" spans="10:11" ht="15.75" customHeight="1">
      <c r="J5082" s="4"/>
      <c r="K5082" s="4"/>
    </row>
    <row r="5083" spans="10:11" ht="15.75" customHeight="1">
      <c r="J5083" s="4"/>
      <c r="K5083" s="4"/>
    </row>
    <row r="5084" spans="10:11" ht="15.75" customHeight="1">
      <c r="J5084" s="4"/>
      <c r="K5084" s="4"/>
    </row>
    <row r="5085" spans="10:11" ht="15.75" customHeight="1">
      <c r="J5085" s="4"/>
      <c r="K5085" s="4"/>
    </row>
    <row r="5086" spans="10:11" ht="15.75" customHeight="1">
      <c r="J5086" s="4"/>
      <c r="K5086" s="4"/>
    </row>
    <row r="5087" spans="10:11" ht="15.75" customHeight="1">
      <c r="J5087" s="4"/>
      <c r="K5087" s="4"/>
    </row>
    <row r="5088" spans="10:11" ht="15.75" customHeight="1">
      <c r="J5088" s="4"/>
      <c r="K5088" s="4"/>
    </row>
    <row r="5089" spans="10:11" ht="15.75" customHeight="1">
      <c r="J5089" s="4"/>
      <c r="K5089" s="4"/>
    </row>
    <row r="5090" spans="10:11" ht="15.75" customHeight="1">
      <c r="J5090" s="4"/>
      <c r="K5090" s="4"/>
    </row>
    <row r="5091" spans="10:11" ht="15.75" customHeight="1">
      <c r="J5091" s="4"/>
      <c r="K5091" s="4"/>
    </row>
    <row r="5092" spans="10:11" ht="15.75" customHeight="1">
      <c r="J5092" s="4"/>
      <c r="K5092" s="4"/>
    </row>
    <row r="5093" spans="10:11" ht="15.75" customHeight="1">
      <c r="J5093" s="4"/>
      <c r="K5093" s="4"/>
    </row>
    <row r="5094" spans="10:11" ht="15.75" customHeight="1">
      <c r="J5094" s="4"/>
      <c r="K5094" s="4"/>
    </row>
    <row r="5095" spans="10:11" ht="15.75" customHeight="1">
      <c r="J5095" s="4"/>
      <c r="K5095" s="4"/>
    </row>
    <row r="5096" spans="10:11" ht="15.75" customHeight="1">
      <c r="J5096" s="4"/>
      <c r="K5096" s="4"/>
    </row>
    <row r="5097" spans="10:11" ht="15.75" customHeight="1">
      <c r="J5097" s="4"/>
      <c r="K5097" s="4"/>
    </row>
    <row r="5098" spans="10:11" ht="15.75" customHeight="1">
      <c r="J5098" s="4"/>
      <c r="K5098" s="4"/>
    </row>
    <row r="5099" spans="10:11" ht="15.75" customHeight="1">
      <c r="J5099" s="4"/>
      <c r="K5099" s="4"/>
    </row>
    <row r="5100" spans="10:11" ht="15.75" customHeight="1">
      <c r="J5100" s="4"/>
      <c r="K5100" s="4"/>
    </row>
    <row r="5101" spans="10:11" ht="15.75" customHeight="1">
      <c r="J5101" s="4"/>
      <c r="K5101" s="4"/>
    </row>
    <row r="5102" spans="10:11" ht="15.75" customHeight="1">
      <c r="J5102" s="4"/>
      <c r="K5102" s="4"/>
    </row>
    <row r="5103" spans="10:11" ht="15.75" customHeight="1">
      <c r="J5103" s="4"/>
      <c r="K5103" s="4"/>
    </row>
    <row r="5104" spans="10:11" ht="15.75" customHeight="1">
      <c r="J5104" s="4"/>
      <c r="K5104" s="4"/>
    </row>
    <row r="5105" spans="10:11" ht="15.75" customHeight="1">
      <c r="J5105" s="4"/>
      <c r="K5105" s="4"/>
    </row>
    <row r="5106" spans="10:11" ht="15.75" customHeight="1">
      <c r="J5106" s="4"/>
      <c r="K5106" s="4"/>
    </row>
    <row r="5107" spans="10:11" ht="15.75" customHeight="1">
      <c r="J5107" s="4"/>
      <c r="K5107" s="4"/>
    </row>
    <row r="5108" spans="10:11" ht="15.75" customHeight="1">
      <c r="J5108" s="4"/>
      <c r="K5108" s="4"/>
    </row>
    <row r="5109" spans="10:11" ht="15.75" customHeight="1">
      <c r="J5109" s="4"/>
      <c r="K5109" s="4"/>
    </row>
    <row r="5110" spans="10:11" ht="15.75" customHeight="1">
      <c r="J5110" s="4"/>
      <c r="K5110" s="4"/>
    </row>
    <row r="5111" spans="10:11" ht="15.75" customHeight="1">
      <c r="J5111" s="4"/>
      <c r="K5111" s="4"/>
    </row>
    <row r="5112" spans="10:11" ht="15.75" customHeight="1">
      <c r="J5112" s="4"/>
      <c r="K5112" s="4"/>
    </row>
    <row r="5113" spans="10:11" ht="15.75" customHeight="1">
      <c r="J5113" s="4"/>
      <c r="K5113" s="4"/>
    </row>
    <row r="5114" spans="10:11" ht="15.75" customHeight="1">
      <c r="J5114" s="4"/>
      <c r="K5114" s="4"/>
    </row>
    <row r="5115" spans="10:11" ht="15.75" customHeight="1">
      <c r="J5115" s="4"/>
      <c r="K5115" s="4"/>
    </row>
    <row r="5116" spans="10:11" ht="15.75" customHeight="1">
      <c r="J5116" s="4"/>
      <c r="K5116" s="4"/>
    </row>
    <row r="5117" spans="10:11" ht="15.75" customHeight="1">
      <c r="J5117" s="4"/>
      <c r="K5117" s="4"/>
    </row>
    <row r="5118" spans="10:11" ht="15.75" customHeight="1">
      <c r="J5118" s="4"/>
      <c r="K5118" s="4"/>
    </row>
    <row r="5119" spans="10:11" ht="15.75" customHeight="1">
      <c r="J5119" s="4"/>
      <c r="K5119" s="4"/>
    </row>
    <row r="5120" spans="10:11" ht="15.75" customHeight="1">
      <c r="J5120" s="4"/>
      <c r="K5120" s="4"/>
    </row>
    <row r="5121" spans="10:11" ht="15.75" customHeight="1">
      <c r="J5121" s="4"/>
      <c r="K5121" s="4"/>
    </row>
    <row r="5122" spans="10:11" ht="15.75" customHeight="1">
      <c r="J5122" s="4"/>
      <c r="K5122" s="4"/>
    </row>
    <row r="5123" spans="10:11" ht="15.75" customHeight="1">
      <c r="J5123" s="4"/>
      <c r="K5123" s="4"/>
    </row>
    <row r="5124" spans="10:11" ht="15.75" customHeight="1">
      <c r="J5124" s="4"/>
      <c r="K5124" s="4"/>
    </row>
    <row r="5125" spans="10:11" ht="15.75" customHeight="1">
      <c r="J5125" s="4"/>
      <c r="K5125" s="4"/>
    </row>
    <row r="5126" spans="10:11" ht="15.75" customHeight="1">
      <c r="J5126" s="4"/>
      <c r="K5126" s="4"/>
    </row>
    <row r="5127" spans="10:11" ht="15.75" customHeight="1">
      <c r="J5127" s="4"/>
      <c r="K5127" s="4"/>
    </row>
    <row r="5128" spans="10:11" ht="15.75" customHeight="1">
      <c r="J5128" s="4"/>
      <c r="K5128" s="4"/>
    </row>
    <row r="5129" spans="10:11" ht="15.75" customHeight="1">
      <c r="J5129" s="4"/>
      <c r="K5129" s="4"/>
    </row>
    <row r="5130" spans="10:11" ht="15.75" customHeight="1">
      <c r="J5130" s="4"/>
      <c r="K5130" s="4"/>
    </row>
    <row r="5131" spans="10:11" ht="15.75" customHeight="1">
      <c r="J5131" s="4"/>
      <c r="K5131" s="4"/>
    </row>
    <row r="5132" spans="10:11" ht="15.75" customHeight="1">
      <c r="J5132" s="4"/>
      <c r="K5132" s="4"/>
    </row>
    <row r="5133" spans="10:11" ht="15.75" customHeight="1">
      <c r="J5133" s="4"/>
      <c r="K5133" s="4"/>
    </row>
    <row r="5134" spans="10:11" ht="15.75" customHeight="1">
      <c r="J5134" s="4"/>
      <c r="K5134" s="4"/>
    </row>
    <row r="5135" spans="10:11" ht="15.75" customHeight="1">
      <c r="J5135" s="4"/>
      <c r="K5135" s="4"/>
    </row>
    <row r="5136" spans="10:11" ht="15.75" customHeight="1">
      <c r="J5136" s="4"/>
      <c r="K5136" s="4"/>
    </row>
    <row r="5137" spans="10:11" ht="15.75" customHeight="1">
      <c r="J5137" s="4"/>
      <c r="K5137" s="4"/>
    </row>
    <row r="5138" spans="10:11" ht="15.75" customHeight="1">
      <c r="J5138" s="4"/>
      <c r="K5138" s="4"/>
    </row>
    <row r="5139" spans="10:11" ht="15.75" customHeight="1">
      <c r="J5139" s="4"/>
      <c r="K5139" s="4"/>
    </row>
    <row r="5140" spans="10:11" ht="15.75" customHeight="1">
      <c r="J5140" s="4"/>
      <c r="K5140" s="4"/>
    </row>
    <row r="5141" spans="10:11" ht="15.75" customHeight="1">
      <c r="J5141" s="4"/>
      <c r="K5141" s="4"/>
    </row>
    <row r="5142" spans="10:11" ht="15.75" customHeight="1">
      <c r="J5142" s="4"/>
      <c r="K5142" s="4"/>
    </row>
    <row r="5143" spans="10:11" ht="15.75" customHeight="1">
      <c r="J5143" s="4"/>
      <c r="K5143" s="4"/>
    </row>
    <row r="5144" spans="10:11" ht="15.75" customHeight="1">
      <c r="J5144" s="4"/>
      <c r="K5144" s="4"/>
    </row>
    <row r="5145" spans="10:11" ht="15.75" customHeight="1">
      <c r="J5145" s="4"/>
      <c r="K5145" s="4"/>
    </row>
    <row r="5146" spans="10:11" ht="15.75" customHeight="1">
      <c r="J5146" s="4"/>
      <c r="K5146" s="4"/>
    </row>
    <row r="5147" spans="10:11" ht="15.75" customHeight="1">
      <c r="J5147" s="4"/>
      <c r="K5147" s="4"/>
    </row>
    <row r="5148" spans="10:11" ht="15.75" customHeight="1">
      <c r="J5148" s="4"/>
      <c r="K5148" s="4"/>
    </row>
    <row r="5149" spans="10:11" ht="15.75" customHeight="1">
      <c r="J5149" s="4"/>
      <c r="K5149" s="4"/>
    </row>
    <row r="5150" spans="10:11" ht="15.75" customHeight="1">
      <c r="J5150" s="4"/>
      <c r="K5150" s="4"/>
    </row>
    <row r="5151" spans="10:11" ht="15.75" customHeight="1">
      <c r="J5151" s="4"/>
      <c r="K5151" s="4"/>
    </row>
    <row r="5152" spans="10:11" ht="15.75" customHeight="1">
      <c r="J5152" s="4"/>
      <c r="K5152" s="4"/>
    </row>
    <row r="5153" spans="10:11" ht="15.75" customHeight="1">
      <c r="J5153" s="4"/>
      <c r="K5153" s="4"/>
    </row>
    <row r="5154" spans="10:11" ht="15.75" customHeight="1">
      <c r="J5154" s="4"/>
      <c r="K5154" s="4"/>
    </row>
    <row r="5155" spans="10:11" ht="15.75" customHeight="1">
      <c r="J5155" s="4"/>
      <c r="K5155" s="4"/>
    </row>
    <row r="5156" spans="10:11" ht="15.75" customHeight="1">
      <c r="J5156" s="4"/>
      <c r="K5156" s="4"/>
    </row>
    <row r="5157" spans="10:11" ht="15.75" customHeight="1">
      <c r="J5157" s="4"/>
      <c r="K5157" s="4"/>
    </row>
    <row r="5158" spans="10:11" ht="15.75" customHeight="1">
      <c r="J5158" s="4"/>
      <c r="K5158" s="4"/>
    </row>
    <row r="5159" spans="10:11" ht="15.75" customHeight="1">
      <c r="J5159" s="4"/>
      <c r="K5159" s="4"/>
    </row>
    <row r="5160" spans="10:11" ht="15.75" customHeight="1">
      <c r="J5160" s="4"/>
      <c r="K5160" s="4"/>
    </row>
    <row r="5161" spans="10:11" ht="15.75" customHeight="1">
      <c r="J5161" s="4"/>
      <c r="K5161" s="4"/>
    </row>
    <row r="5162" spans="10:11" ht="15.75" customHeight="1">
      <c r="J5162" s="4"/>
      <c r="K5162" s="4"/>
    </row>
    <row r="5163" spans="10:11" ht="15.75" customHeight="1">
      <c r="J5163" s="4"/>
      <c r="K5163" s="4"/>
    </row>
    <row r="5164" spans="10:11" ht="15.75" customHeight="1">
      <c r="J5164" s="4"/>
      <c r="K5164" s="4"/>
    </row>
    <row r="5165" spans="10:11" ht="15.75" customHeight="1">
      <c r="J5165" s="4"/>
      <c r="K5165" s="4"/>
    </row>
    <row r="5166" spans="10:11" ht="15.75" customHeight="1">
      <c r="J5166" s="4"/>
      <c r="K5166" s="4"/>
    </row>
    <row r="5167" spans="10:11" ht="15.75" customHeight="1">
      <c r="J5167" s="4"/>
      <c r="K5167" s="4"/>
    </row>
    <row r="5168" spans="10:11" ht="15.75" customHeight="1">
      <c r="J5168" s="4"/>
      <c r="K5168" s="4"/>
    </row>
    <row r="5169" spans="10:11" ht="15.75" customHeight="1">
      <c r="J5169" s="4"/>
      <c r="K5169" s="4"/>
    </row>
    <row r="5170" spans="10:11" ht="15.75" customHeight="1">
      <c r="J5170" s="4"/>
      <c r="K5170" s="4"/>
    </row>
    <row r="5171" spans="10:11" ht="15.75" customHeight="1">
      <c r="J5171" s="4"/>
      <c r="K5171" s="4"/>
    </row>
    <row r="5172" spans="10:11" ht="15.75" customHeight="1">
      <c r="J5172" s="4"/>
      <c r="K5172" s="4"/>
    </row>
    <row r="5173" spans="10:11" ht="15.75" customHeight="1">
      <c r="J5173" s="4"/>
      <c r="K5173" s="4"/>
    </row>
    <row r="5174" spans="10:11" ht="15.75" customHeight="1">
      <c r="J5174" s="4"/>
      <c r="K5174" s="4"/>
    </row>
    <row r="5175" spans="10:11" ht="15.75" customHeight="1">
      <c r="J5175" s="4"/>
      <c r="K5175" s="4"/>
    </row>
    <row r="5176" spans="10:11" ht="15.75" customHeight="1">
      <c r="J5176" s="4"/>
      <c r="K5176" s="4"/>
    </row>
    <row r="5177" spans="10:11" ht="15.75" customHeight="1">
      <c r="J5177" s="4"/>
      <c r="K5177" s="4"/>
    </row>
    <row r="5178" spans="10:11" ht="15.75" customHeight="1">
      <c r="J5178" s="4"/>
      <c r="K5178" s="4"/>
    </row>
    <row r="5179" spans="10:11" ht="15.75" customHeight="1">
      <c r="J5179" s="4"/>
      <c r="K5179" s="4"/>
    </row>
    <row r="5180" spans="10:11" ht="15.75" customHeight="1">
      <c r="J5180" s="4"/>
      <c r="K5180" s="4"/>
    </row>
    <row r="5181" spans="10:11" ht="15.75" customHeight="1">
      <c r="J5181" s="4"/>
      <c r="K5181" s="4"/>
    </row>
    <row r="5182" spans="10:11" ht="15.75" customHeight="1">
      <c r="J5182" s="4"/>
      <c r="K5182" s="4"/>
    </row>
    <row r="5183" spans="10:11" ht="15.75" customHeight="1">
      <c r="J5183" s="4"/>
      <c r="K5183" s="4"/>
    </row>
    <row r="5184" spans="10:11" ht="15.75" customHeight="1">
      <c r="J5184" s="4"/>
      <c r="K5184" s="4"/>
    </row>
    <row r="5185" spans="10:11" ht="15.75" customHeight="1">
      <c r="J5185" s="4"/>
      <c r="K5185" s="4"/>
    </row>
    <row r="5186" spans="10:11" ht="15.75" customHeight="1">
      <c r="J5186" s="4"/>
      <c r="K5186" s="4"/>
    </row>
    <row r="5187" spans="10:11" ht="15.75" customHeight="1">
      <c r="J5187" s="4"/>
      <c r="K5187" s="4"/>
    </row>
    <row r="5188" spans="10:11" ht="15.75" customHeight="1">
      <c r="J5188" s="4"/>
      <c r="K5188" s="4"/>
    </row>
    <row r="5189" spans="10:11" ht="15.75" customHeight="1">
      <c r="J5189" s="4"/>
      <c r="K5189" s="4"/>
    </row>
    <row r="5190" spans="10:11" ht="15.75" customHeight="1">
      <c r="J5190" s="4"/>
      <c r="K5190" s="4"/>
    </row>
    <row r="5191" spans="10:11" ht="15.75" customHeight="1">
      <c r="J5191" s="4"/>
      <c r="K5191" s="4"/>
    </row>
    <row r="5192" spans="10:11" ht="15.75" customHeight="1">
      <c r="J5192" s="4"/>
      <c r="K5192" s="4"/>
    </row>
    <row r="5193" spans="10:11" ht="15.75" customHeight="1">
      <c r="J5193" s="4"/>
      <c r="K5193" s="4"/>
    </row>
    <row r="5194" spans="10:11" ht="15.75" customHeight="1">
      <c r="J5194" s="4"/>
      <c r="K5194" s="4"/>
    </row>
    <row r="5195" spans="10:11" ht="15.75" customHeight="1">
      <c r="J5195" s="4"/>
      <c r="K5195" s="4"/>
    </row>
    <row r="5196" spans="10:11" ht="15.75" customHeight="1">
      <c r="J5196" s="4"/>
      <c r="K5196" s="4"/>
    </row>
    <row r="5197" spans="10:11" ht="15.75" customHeight="1">
      <c r="J5197" s="4"/>
      <c r="K5197" s="4"/>
    </row>
    <row r="5198" spans="10:11" ht="15.75" customHeight="1">
      <c r="J5198" s="4"/>
      <c r="K5198" s="4"/>
    </row>
    <row r="5199" spans="10:11" ht="15.75" customHeight="1">
      <c r="J5199" s="4"/>
      <c r="K5199" s="4"/>
    </row>
    <row r="5200" spans="10:11" ht="15.75" customHeight="1">
      <c r="J5200" s="4"/>
      <c r="K5200" s="4"/>
    </row>
    <row r="5201" spans="10:11" ht="15.75" customHeight="1">
      <c r="J5201" s="4"/>
      <c r="K5201" s="4"/>
    </row>
    <row r="5202" spans="10:11" ht="15.75" customHeight="1">
      <c r="J5202" s="4"/>
      <c r="K5202" s="4"/>
    </row>
    <row r="5203" spans="10:11" ht="15.75" customHeight="1">
      <c r="J5203" s="4"/>
      <c r="K5203" s="4"/>
    </row>
    <row r="5204" spans="10:11" ht="15.75" customHeight="1">
      <c r="J5204" s="4"/>
      <c r="K5204" s="4"/>
    </row>
    <row r="5205" spans="10:11" ht="15.75" customHeight="1">
      <c r="J5205" s="4"/>
      <c r="K5205" s="4"/>
    </row>
    <row r="5206" spans="10:11" ht="15.75" customHeight="1">
      <c r="J5206" s="4"/>
      <c r="K5206" s="4"/>
    </row>
    <row r="5207" spans="10:11" ht="15.75" customHeight="1">
      <c r="J5207" s="4"/>
      <c r="K5207" s="4"/>
    </row>
    <row r="5208" spans="10:11" ht="15.75" customHeight="1">
      <c r="J5208" s="4"/>
      <c r="K5208" s="4"/>
    </row>
    <row r="5209" spans="10:11" ht="15.75" customHeight="1">
      <c r="J5209" s="4"/>
      <c r="K5209" s="4"/>
    </row>
    <row r="5210" spans="10:11" ht="15.75" customHeight="1">
      <c r="J5210" s="4"/>
      <c r="K5210" s="4"/>
    </row>
    <row r="5211" spans="10:11" ht="15.75" customHeight="1">
      <c r="J5211" s="4"/>
      <c r="K5211" s="4"/>
    </row>
    <row r="5212" spans="10:11" ht="15.75" customHeight="1">
      <c r="J5212" s="4"/>
      <c r="K5212" s="4"/>
    </row>
    <row r="5213" spans="10:11" ht="15.75" customHeight="1">
      <c r="J5213" s="4"/>
      <c r="K5213" s="4"/>
    </row>
    <row r="5214" spans="10:11" ht="15.75" customHeight="1">
      <c r="J5214" s="4"/>
      <c r="K5214" s="4"/>
    </row>
    <row r="5215" spans="10:11" ht="15.75" customHeight="1">
      <c r="J5215" s="4"/>
      <c r="K5215" s="4"/>
    </row>
    <row r="5216" spans="10:11" ht="15.75" customHeight="1">
      <c r="J5216" s="4"/>
      <c r="K5216" s="4"/>
    </row>
    <row r="5217" spans="10:11" ht="15.75" customHeight="1">
      <c r="J5217" s="4"/>
      <c r="K5217" s="4"/>
    </row>
    <row r="5218" spans="10:11" ht="15.75" customHeight="1">
      <c r="J5218" s="4"/>
      <c r="K5218" s="4"/>
    </row>
    <row r="5219" spans="10:11" ht="15.75" customHeight="1">
      <c r="J5219" s="4"/>
      <c r="K5219" s="4"/>
    </row>
    <row r="5220" spans="10:11" ht="15.75" customHeight="1">
      <c r="J5220" s="4"/>
      <c r="K5220" s="4"/>
    </row>
    <row r="5221" spans="10:11" ht="15.75" customHeight="1">
      <c r="J5221" s="4"/>
      <c r="K5221" s="4"/>
    </row>
    <row r="5222" spans="10:11" ht="15.75" customHeight="1">
      <c r="J5222" s="4"/>
      <c r="K5222" s="4"/>
    </row>
    <row r="5223" spans="10:11" ht="15.75" customHeight="1">
      <c r="J5223" s="4"/>
      <c r="K5223" s="4"/>
    </row>
    <row r="5224" spans="10:11" ht="15.75" customHeight="1">
      <c r="J5224" s="4"/>
      <c r="K5224" s="4"/>
    </row>
    <row r="5225" spans="10:11" ht="15.75" customHeight="1">
      <c r="J5225" s="4"/>
      <c r="K5225" s="4"/>
    </row>
    <row r="5226" spans="10:11" ht="15.75" customHeight="1">
      <c r="J5226" s="4"/>
      <c r="K5226" s="4"/>
    </row>
    <row r="5227" spans="10:11" ht="15.75" customHeight="1">
      <c r="J5227" s="4"/>
      <c r="K5227" s="4"/>
    </row>
    <row r="5228" spans="10:11" ht="15.75" customHeight="1">
      <c r="J5228" s="4"/>
      <c r="K5228" s="4"/>
    </row>
    <row r="5229" spans="10:11" ht="15.75" customHeight="1">
      <c r="J5229" s="4"/>
      <c r="K5229" s="4"/>
    </row>
    <row r="5230" spans="10:11" ht="15.75" customHeight="1">
      <c r="J5230" s="4"/>
      <c r="K5230" s="4"/>
    </row>
    <row r="5231" spans="10:11" ht="15.75" customHeight="1">
      <c r="J5231" s="4"/>
      <c r="K5231" s="4"/>
    </row>
    <row r="5232" spans="10:11" ht="15.75" customHeight="1">
      <c r="J5232" s="4"/>
      <c r="K5232" s="4"/>
    </row>
    <row r="5233" spans="10:11" ht="15.75" customHeight="1">
      <c r="J5233" s="4"/>
      <c r="K5233" s="4"/>
    </row>
    <row r="5234" spans="10:11" ht="15.75" customHeight="1">
      <c r="J5234" s="4"/>
      <c r="K5234" s="4"/>
    </row>
    <row r="5235" spans="10:11" ht="15.75" customHeight="1">
      <c r="J5235" s="4"/>
      <c r="K5235" s="4"/>
    </row>
    <row r="5236" spans="10:11" ht="15.75" customHeight="1">
      <c r="J5236" s="4"/>
      <c r="K5236" s="4"/>
    </row>
    <row r="5237" spans="10:11" ht="15.75" customHeight="1">
      <c r="J5237" s="4"/>
      <c r="K5237" s="4"/>
    </row>
    <row r="5238" spans="10:11" ht="15.75" customHeight="1">
      <c r="J5238" s="4"/>
      <c r="K5238" s="4"/>
    </row>
    <row r="5239" spans="10:11" ht="15.75" customHeight="1">
      <c r="J5239" s="4"/>
      <c r="K5239" s="4"/>
    </row>
    <row r="5240" spans="10:11" ht="15.75" customHeight="1">
      <c r="J5240" s="4"/>
      <c r="K5240" s="4"/>
    </row>
    <row r="5241" spans="10:11" ht="15.75" customHeight="1">
      <c r="J5241" s="4"/>
      <c r="K5241" s="4"/>
    </row>
    <row r="5242" spans="10:11" ht="15.75" customHeight="1">
      <c r="J5242" s="4"/>
      <c r="K5242" s="4"/>
    </row>
    <row r="5243" spans="10:11" ht="15.75" customHeight="1">
      <c r="J5243" s="4"/>
      <c r="K5243" s="4"/>
    </row>
    <row r="5244" spans="10:11" ht="15.75" customHeight="1">
      <c r="J5244" s="4"/>
      <c r="K5244" s="4"/>
    </row>
    <row r="5245" spans="10:11" ht="15.75" customHeight="1">
      <c r="J5245" s="4"/>
      <c r="K5245" s="4"/>
    </row>
    <row r="5246" spans="10:11" ht="15.75" customHeight="1">
      <c r="J5246" s="4"/>
      <c r="K5246" s="4"/>
    </row>
    <row r="5247" spans="10:11" ht="15.75" customHeight="1">
      <c r="J5247" s="4"/>
      <c r="K5247" s="4"/>
    </row>
    <row r="5248" spans="10:11" ht="15.75" customHeight="1">
      <c r="J5248" s="4"/>
      <c r="K5248" s="4"/>
    </row>
    <row r="5249" spans="10:11" ht="15.75" customHeight="1">
      <c r="J5249" s="4"/>
      <c r="K5249" s="4"/>
    </row>
    <row r="5250" spans="10:11" ht="15.75" customHeight="1">
      <c r="J5250" s="4"/>
      <c r="K5250" s="4"/>
    </row>
    <row r="5251" spans="10:11" ht="15.75" customHeight="1">
      <c r="J5251" s="4"/>
      <c r="K5251" s="4"/>
    </row>
    <row r="5252" spans="10:11" ht="15.75" customHeight="1">
      <c r="J5252" s="4"/>
      <c r="K5252" s="4"/>
    </row>
    <row r="5253" spans="10:11" ht="15.75" customHeight="1">
      <c r="J5253" s="4"/>
      <c r="K5253" s="4"/>
    </row>
    <row r="5254" spans="10:11" ht="15.75" customHeight="1">
      <c r="J5254" s="4"/>
      <c r="K5254" s="4"/>
    </row>
    <row r="5255" spans="10:11" ht="15.75" customHeight="1">
      <c r="J5255" s="4"/>
      <c r="K5255" s="4"/>
    </row>
    <row r="5256" spans="10:11" ht="15.75" customHeight="1">
      <c r="J5256" s="4"/>
      <c r="K5256" s="4"/>
    </row>
    <row r="5257" spans="10:11" ht="15.75" customHeight="1">
      <c r="J5257" s="4"/>
      <c r="K5257" s="4"/>
    </row>
    <row r="5258" spans="10:11" ht="15.75" customHeight="1">
      <c r="J5258" s="4"/>
      <c r="K5258" s="4"/>
    </row>
    <row r="5259" spans="10:11" ht="15.75" customHeight="1">
      <c r="J5259" s="4"/>
      <c r="K5259" s="4"/>
    </row>
    <row r="5260" spans="10:11" ht="15.75" customHeight="1">
      <c r="J5260" s="4"/>
      <c r="K5260" s="4"/>
    </row>
    <row r="5261" spans="10:11" ht="15.75" customHeight="1">
      <c r="J5261" s="4"/>
      <c r="K5261" s="4"/>
    </row>
    <row r="5262" spans="10:11" ht="15.75" customHeight="1">
      <c r="J5262" s="4"/>
      <c r="K5262" s="4"/>
    </row>
    <row r="5263" spans="10:11" ht="15.75" customHeight="1">
      <c r="J5263" s="4"/>
      <c r="K5263" s="4"/>
    </row>
    <row r="5264" spans="10:11" ht="15.75" customHeight="1">
      <c r="J5264" s="4"/>
      <c r="K5264" s="4"/>
    </row>
    <row r="5265" spans="10:11" ht="15.75" customHeight="1">
      <c r="J5265" s="4"/>
      <c r="K5265" s="4"/>
    </row>
    <row r="5266" spans="10:11" ht="15.75" customHeight="1">
      <c r="J5266" s="4"/>
      <c r="K5266" s="4"/>
    </row>
    <row r="5267" spans="10:11" ht="15.75" customHeight="1">
      <c r="J5267" s="4"/>
      <c r="K5267" s="4"/>
    </row>
    <row r="5268" spans="10:11" ht="15.75" customHeight="1">
      <c r="J5268" s="4"/>
      <c r="K5268" s="4"/>
    </row>
    <row r="5269" spans="10:11" ht="15.75" customHeight="1">
      <c r="J5269" s="4"/>
      <c r="K5269" s="4"/>
    </row>
    <row r="5270" spans="10:11" ht="15.75" customHeight="1">
      <c r="J5270" s="4"/>
      <c r="K5270" s="4"/>
    </row>
    <row r="5271" spans="10:11" ht="15.75" customHeight="1">
      <c r="J5271" s="4"/>
      <c r="K5271" s="4"/>
    </row>
    <row r="5272" spans="10:11" ht="15.75" customHeight="1">
      <c r="J5272" s="4"/>
      <c r="K5272" s="4"/>
    </row>
    <row r="5273" spans="10:11" ht="15.75" customHeight="1">
      <c r="J5273" s="4"/>
      <c r="K5273" s="4"/>
    </row>
    <row r="5274" spans="10:11" ht="15.75" customHeight="1">
      <c r="J5274" s="4"/>
      <c r="K5274" s="4"/>
    </row>
    <row r="5275" spans="10:11" ht="15.75" customHeight="1">
      <c r="J5275" s="4"/>
      <c r="K5275" s="4"/>
    </row>
    <row r="5276" spans="10:11" ht="15.75" customHeight="1">
      <c r="J5276" s="4"/>
      <c r="K5276" s="4"/>
    </row>
    <row r="5277" spans="10:11" ht="15.75" customHeight="1">
      <c r="J5277" s="4"/>
      <c r="K5277" s="4"/>
    </row>
    <row r="5278" spans="10:11" ht="15.75" customHeight="1">
      <c r="J5278" s="4"/>
      <c r="K5278" s="4"/>
    </row>
    <row r="5279" spans="10:11" ht="15.75" customHeight="1">
      <c r="J5279" s="4"/>
      <c r="K5279" s="4"/>
    </row>
    <row r="5280" spans="10:11" ht="15.75" customHeight="1">
      <c r="J5280" s="4"/>
      <c r="K5280" s="4"/>
    </row>
    <row r="5281" spans="10:11" ht="15.75" customHeight="1">
      <c r="J5281" s="4"/>
      <c r="K5281" s="4"/>
    </row>
    <row r="5282" spans="10:11" ht="15.75" customHeight="1">
      <c r="J5282" s="4"/>
      <c r="K5282" s="4"/>
    </row>
    <row r="5283" spans="10:11" ht="15.75" customHeight="1">
      <c r="J5283" s="4"/>
      <c r="K5283" s="4"/>
    </row>
    <row r="5284" spans="10:11" ht="15.75" customHeight="1">
      <c r="J5284" s="4"/>
      <c r="K5284" s="4"/>
    </row>
    <row r="5285" spans="10:11" ht="15.75" customHeight="1">
      <c r="J5285" s="4"/>
      <c r="K5285" s="4"/>
    </row>
    <row r="5286" spans="10:11" ht="15.75" customHeight="1">
      <c r="J5286" s="4"/>
      <c r="K5286" s="4"/>
    </row>
    <row r="5287" spans="10:11" ht="15.75" customHeight="1">
      <c r="J5287" s="4"/>
      <c r="K5287" s="4"/>
    </row>
    <row r="5288" spans="10:11" ht="15.75" customHeight="1">
      <c r="J5288" s="4"/>
      <c r="K5288" s="4"/>
    </row>
    <row r="5289" spans="10:11" ht="15.75" customHeight="1">
      <c r="J5289" s="4"/>
      <c r="K5289" s="4"/>
    </row>
    <row r="5290" spans="10:11" ht="15.75" customHeight="1">
      <c r="J5290" s="4"/>
      <c r="K5290" s="4"/>
    </row>
    <row r="5291" spans="10:11" ht="15.75" customHeight="1">
      <c r="J5291" s="4"/>
      <c r="K5291" s="4"/>
    </row>
    <row r="5292" spans="10:11" ht="15.75" customHeight="1">
      <c r="J5292" s="4"/>
      <c r="K5292" s="4"/>
    </row>
    <row r="5293" spans="10:11" ht="15.75" customHeight="1">
      <c r="J5293" s="4"/>
      <c r="K5293" s="4"/>
    </row>
    <row r="5294" spans="10:11" ht="15.75" customHeight="1">
      <c r="J5294" s="4"/>
      <c r="K5294" s="4"/>
    </row>
    <row r="5295" spans="10:11" ht="15.75" customHeight="1">
      <c r="J5295" s="4"/>
      <c r="K5295" s="4"/>
    </row>
    <row r="5296" spans="10:11" ht="15.75" customHeight="1">
      <c r="J5296" s="4"/>
      <c r="K5296" s="4"/>
    </row>
    <row r="5297" spans="10:11" ht="15.75" customHeight="1">
      <c r="J5297" s="4"/>
      <c r="K5297" s="4"/>
    </row>
    <row r="5298" spans="10:11" ht="15.75" customHeight="1">
      <c r="J5298" s="4"/>
      <c r="K5298" s="4"/>
    </row>
    <row r="5299" spans="10:11" ht="15.75" customHeight="1">
      <c r="J5299" s="4"/>
      <c r="K5299" s="4"/>
    </row>
    <row r="5300" spans="10:11" ht="15.75" customHeight="1">
      <c r="J5300" s="4"/>
      <c r="K5300" s="4"/>
    </row>
    <row r="5301" spans="10:11" ht="15.75" customHeight="1">
      <c r="J5301" s="4"/>
      <c r="K5301" s="4"/>
    </row>
    <row r="5302" spans="10:11" ht="15.75" customHeight="1">
      <c r="J5302" s="4"/>
      <c r="K5302" s="4"/>
    </row>
    <row r="5303" spans="10:11" ht="15.75" customHeight="1">
      <c r="J5303" s="4"/>
      <c r="K5303" s="4"/>
    </row>
    <row r="5304" spans="10:11" ht="15.75" customHeight="1">
      <c r="J5304" s="4"/>
      <c r="K5304" s="4"/>
    </row>
    <row r="5305" spans="10:11" ht="15.75" customHeight="1">
      <c r="J5305" s="4"/>
      <c r="K5305" s="4"/>
    </row>
    <row r="5306" spans="10:11" ht="15.75" customHeight="1">
      <c r="J5306" s="4"/>
      <c r="K5306" s="4"/>
    </row>
    <row r="5307" spans="10:11" ht="15.75" customHeight="1">
      <c r="J5307" s="4"/>
      <c r="K5307" s="4"/>
    </row>
    <row r="5308" spans="10:11" ht="15.75" customHeight="1">
      <c r="J5308" s="4"/>
      <c r="K5308" s="4"/>
    </row>
    <row r="5309" spans="10:11" ht="15.75" customHeight="1">
      <c r="J5309" s="4"/>
      <c r="K5309" s="4"/>
    </row>
    <row r="5310" spans="10:11" ht="15.75" customHeight="1">
      <c r="J5310" s="4"/>
      <c r="K5310" s="4"/>
    </row>
    <row r="5311" spans="10:11" ht="15.75" customHeight="1">
      <c r="J5311" s="4"/>
      <c r="K5311" s="4"/>
    </row>
    <row r="5312" spans="10:11" ht="15.75" customHeight="1">
      <c r="J5312" s="4"/>
      <c r="K5312" s="4"/>
    </row>
    <row r="5313" spans="10:11" ht="15.75" customHeight="1">
      <c r="J5313" s="4"/>
      <c r="K5313" s="4"/>
    </row>
    <row r="5314" spans="10:11" ht="15.75" customHeight="1">
      <c r="J5314" s="4"/>
      <c r="K5314" s="4"/>
    </row>
    <row r="5315" spans="10:11" ht="15.75" customHeight="1">
      <c r="J5315" s="4"/>
      <c r="K5315" s="4"/>
    </row>
    <row r="5316" spans="10:11" ht="15.75" customHeight="1">
      <c r="J5316" s="4"/>
      <c r="K5316" s="4"/>
    </row>
    <row r="5317" spans="10:11" ht="15.75" customHeight="1">
      <c r="J5317" s="4"/>
      <c r="K5317" s="4"/>
    </row>
    <row r="5318" spans="10:11" ht="15.75" customHeight="1">
      <c r="J5318" s="4"/>
      <c r="K5318" s="4"/>
    </row>
    <row r="5319" spans="10:11" ht="15.75" customHeight="1">
      <c r="J5319" s="4"/>
      <c r="K5319" s="4"/>
    </row>
    <row r="5320" spans="10:11" ht="15.75" customHeight="1">
      <c r="J5320" s="4"/>
      <c r="K5320" s="4"/>
    </row>
    <row r="5321" spans="10:11" ht="15.75" customHeight="1">
      <c r="J5321" s="4"/>
      <c r="K5321" s="4"/>
    </row>
    <row r="5322" spans="10:11" ht="15.75" customHeight="1">
      <c r="J5322" s="4"/>
      <c r="K5322" s="4"/>
    </row>
    <row r="5323" spans="10:11" ht="15.75" customHeight="1">
      <c r="J5323" s="4"/>
      <c r="K5323" s="4"/>
    </row>
    <row r="5324" spans="10:11" ht="15.75" customHeight="1">
      <c r="J5324" s="4"/>
      <c r="K5324" s="4"/>
    </row>
    <row r="5325" spans="10:11" ht="15.75" customHeight="1">
      <c r="J5325" s="4"/>
      <c r="K5325" s="4"/>
    </row>
    <row r="5326" spans="10:11" ht="15.75" customHeight="1">
      <c r="J5326" s="4"/>
      <c r="K5326" s="4"/>
    </row>
    <row r="5327" spans="10:11" ht="15.75" customHeight="1">
      <c r="J5327" s="4"/>
      <c r="K5327" s="4"/>
    </row>
    <row r="5328" spans="10:11" ht="15.75" customHeight="1">
      <c r="J5328" s="4"/>
      <c r="K5328" s="4"/>
    </row>
    <row r="5329" spans="10:11" ht="15.75" customHeight="1">
      <c r="J5329" s="4"/>
      <c r="K5329" s="4"/>
    </row>
    <row r="5330" spans="10:11" ht="15.75" customHeight="1">
      <c r="J5330" s="4"/>
      <c r="K5330" s="4"/>
    </row>
    <row r="5331" spans="10:11" ht="15.75" customHeight="1">
      <c r="J5331" s="4"/>
      <c r="K5331" s="4"/>
    </row>
    <row r="5332" spans="10:11" ht="15.75" customHeight="1">
      <c r="J5332" s="4"/>
      <c r="K5332" s="4"/>
    </row>
    <row r="5333" spans="10:11" ht="15.75" customHeight="1">
      <c r="J5333" s="4"/>
      <c r="K5333" s="4"/>
    </row>
    <row r="5334" spans="10:11" ht="15.75" customHeight="1">
      <c r="J5334" s="4"/>
      <c r="K5334" s="4"/>
    </row>
    <row r="5335" spans="10:11" ht="15.75" customHeight="1">
      <c r="J5335" s="4"/>
      <c r="K5335" s="4"/>
    </row>
    <row r="5336" spans="10:11" ht="15.75" customHeight="1">
      <c r="J5336" s="4"/>
      <c r="K5336" s="4"/>
    </row>
    <row r="5337" spans="10:11" ht="15.75" customHeight="1">
      <c r="J5337" s="4"/>
      <c r="K5337" s="4"/>
    </row>
    <row r="5338" spans="10:11" ht="15.75" customHeight="1">
      <c r="J5338" s="4"/>
      <c r="K5338" s="4"/>
    </row>
    <row r="5339" spans="10:11" ht="15.75" customHeight="1">
      <c r="J5339" s="4"/>
      <c r="K5339" s="4"/>
    </row>
    <row r="5340" spans="10:11" ht="15.75" customHeight="1">
      <c r="J5340" s="4"/>
      <c r="K5340" s="4"/>
    </row>
    <row r="5341" spans="10:11" ht="15.75" customHeight="1">
      <c r="J5341" s="4"/>
      <c r="K5341" s="4"/>
    </row>
    <row r="5342" spans="10:11" ht="15.75" customHeight="1">
      <c r="J5342" s="4"/>
      <c r="K5342" s="4"/>
    </row>
    <row r="5343" spans="10:11" ht="15.75" customHeight="1">
      <c r="J5343" s="4"/>
      <c r="K5343" s="4"/>
    </row>
    <row r="5344" spans="10:11" ht="15.75" customHeight="1">
      <c r="J5344" s="4"/>
      <c r="K5344" s="4"/>
    </row>
    <row r="5345" spans="10:11" ht="15.75" customHeight="1">
      <c r="J5345" s="4"/>
      <c r="K5345" s="4"/>
    </row>
    <row r="5346" spans="10:11" ht="15.75" customHeight="1">
      <c r="J5346" s="4"/>
      <c r="K5346" s="4"/>
    </row>
    <row r="5347" spans="10:11" ht="15.75" customHeight="1">
      <c r="J5347" s="4"/>
      <c r="K5347" s="4"/>
    </row>
    <row r="5348" spans="10:11" ht="15.75" customHeight="1">
      <c r="J5348" s="4"/>
      <c r="K5348" s="4"/>
    </row>
    <row r="5349" spans="10:11" ht="15.75" customHeight="1">
      <c r="J5349" s="4"/>
      <c r="K5349" s="4"/>
    </row>
    <row r="5350" spans="10:11" ht="15.75" customHeight="1">
      <c r="J5350" s="4"/>
      <c r="K5350" s="4"/>
    </row>
    <row r="5351" spans="10:11" ht="15.75" customHeight="1">
      <c r="J5351" s="4"/>
      <c r="K5351" s="4"/>
    </row>
    <row r="5352" spans="10:11" ht="15.75" customHeight="1">
      <c r="J5352" s="4"/>
      <c r="K5352" s="4"/>
    </row>
    <row r="5353" spans="10:11" ht="15.75" customHeight="1">
      <c r="J5353" s="4"/>
      <c r="K5353" s="4"/>
    </row>
    <row r="5354" spans="10:11" ht="15.75" customHeight="1">
      <c r="J5354" s="4"/>
      <c r="K5354" s="4"/>
    </row>
    <row r="5355" spans="10:11" ht="15.75" customHeight="1">
      <c r="J5355" s="4"/>
      <c r="K5355" s="4"/>
    </row>
    <row r="5356" spans="10:11" ht="15.75" customHeight="1">
      <c r="J5356" s="4"/>
      <c r="K5356" s="4"/>
    </row>
    <row r="5357" spans="10:11" ht="15.75" customHeight="1">
      <c r="J5357" s="4"/>
      <c r="K5357" s="4"/>
    </row>
    <row r="5358" spans="10:11" ht="15.75" customHeight="1">
      <c r="J5358" s="4"/>
      <c r="K5358" s="4"/>
    </row>
    <row r="5359" spans="10:11" ht="15.75" customHeight="1">
      <c r="J5359" s="4"/>
      <c r="K5359" s="4"/>
    </row>
    <row r="5360" spans="10:11" ht="15.75" customHeight="1">
      <c r="J5360" s="4"/>
      <c r="K5360" s="4"/>
    </row>
    <row r="5361" spans="10:11" ht="15.75" customHeight="1">
      <c r="J5361" s="4"/>
      <c r="K5361" s="4"/>
    </row>
    <row r="5362" spans="10:11" ht="15.75" customHeight="1">
      <c r="J5362" s="4"/>
      <c r="K5362" s="4"/>
    </row>
    <row r="5363" spans="10:11" ht="15.75" customHeight="1">
      <c r="J5363" s="4"/>
      <c r="K5363" s="4"/>
    </row>
    <row r="5364" spans="10:11" ht="15.75" customHeight="1">
      <c r="J5364" s="4"/>
      <c r="K5364" s="4"/>
    </row>
    <row r="5365" spans="10:11" ht="15.75" customHeight="1">
      <c r="J5365" s="4"/>
      <c r="K5365" s="4"/>
    </row>
    <row r="5366" spans="10:11" ht="15.75" customHeight="1">
      <c r="J5366" s="4"/>
      <c r="K5366" s="4"/>
    </row>
    <row r="5367" spans="10:11" ht="15.75" customHeight="1">
      <c r="J5367" s="4"/>
      <c r="K5367" s="4"/>
    </row>
    <row r="5368" spans="10:11" ht="15.75" customHeight="1">
      <c r="J5368" s="4"/>
      <c r="K5368" s="4"/>
    </row>
    <row r="5369" spans="10:11" ht="15.75" customHeight="1">
      <c r="J5369" s="4"/>
      <c r="K5369" s="4"/>
    </row>
    <row r="5370" spans="10:11" ht="15.75" customHeight="1">
      <c r="J5370" s="4"/>
      <c r="K5370" s="4"/>
    </row>
    <row r="5371" spans="10:11" ht="15.75" customHeight="1">
      <c r="J5371" s="4"/>
      <c r="K5371" s="4"/>
    </row>
    <row r="5372" spans="10:11" ht="15.75" customHeight="1">
      <c r="J5372" s="4"/>
      <c r="K5372" s="4"/>
    </row>
    <row r="5373" spans="10:11" ht="15.75" customHeight="1">
      <c r="J5373" s="4"/>
      <c r="K5373" s="4"/>
    </row>
    <row r="5374" spans="10:11" ht="15.75" customHeight="1">
      <c r="J5374" s="4"/>
      <c r="K5374" s="4"/>
    </row>
    <row r="5375" spans="10:11" ht="15.75" customHeight="1">
      <c r="J5375" s="4"/>
      <c r="K5375" s="4"/>
    </row>
    <row r="5376" spans="10:11" ht="15.75" customHeight="1">
      <c r="J5376" s="4"/>
      <c r="K5376" s="4"/>
    </row>
    <row r="5377" spans="10:11" ht="15.75" customHeight="1">
      <c r="J5377" s="4"/>
      <c r="K5377" s="4"/>
    </row>
    <row r="5378" spans="10:11" ht="15.75" customHeight="1">
      <c r="J5378" s="4"/>
      <c r="K5378" s="4"/>
    </row>
    <row r="5379" spans="10:11" ht="15.75" customHeight="1">
      <c r="J5379" s="4"/>
      <c r="K5379" s="4"/>
    </row>
    <row r="5380" spans="10:11" ht="15.75" customHeight="1">
      <c r="J5380" s="4"/>
      <c r="K5380" s="4"/>
    </row>
    <row r="5381" spans="10:11" ht="15.75" customHeight="1">
      <c r="J5381" s="4"/>
      <c r="K5381" s="4"/>
    </row>
    <row r="5382" spans="10:11" ht="15.75" customHeight="1">
      <c r="J5382" s="4"/>
      <c r="K5382" s="4"/>
    </row>
    <row r="5383" spans="10:11" ht="15.75" customHeight="1">
      <c r="J5383" s="4"/>
      <c r="K5383" s="4"/>
    </row>
    <row r="5384" spans="10:11" ht="15.75" customHeight="1">
      <c r="J5384" s="4"/>
      <c r="K5384" s="4"/>
    </row>
    <row r="5385" spans="10:11" ht="15.75" customHeight="1">
      <c r="J5385" s="4"/>
      <c r="K5385" s="4"/>
    </row>
    <row r="5386" spans="10:11" ht="15.75" customHeight="1">
      <c r="J5386" s="4"/>
      <c r="K5386" s="4"/>
    </row>
    <row r="5387" spans="10:11" ht="15.75" customHeight="1">
      <c r="J5387" s="4"/>
      <c r="K5387" s="4"/>
    </row>
    <row r="5388" spans="10:11" ht="15.75" customHeight="1">
      <c r="J5388" s="4"/>
      <c r="K5388" s="4"/>
    </row>
    <row r="5389" spans="10:11" ht="15.75" customHeight="1">
      <c r="J5389" s="4"/>
      <c r="K5389" s="4"/>
    </row>
    <row r="5390" spans="10:11" ht="15.75" customHeight="1">
      <c r="J5390" s="4"/>
      <c r="K5390" s="4"/>
    </row>
    <row r="5391" spans="10:11" ht="15.75" customHeight="1">
      <c r="J5391" s="4"/>
      <c r="K5391" s="4"/>
    </row>
    <row r="5392" spans="10:11" ht="15.75" customHeight="1">
      <c r="J5392" s="4"/>
      <c r="K5392" s="4"/>
    </row>
    <row r="5393" spans="10:11" ht="15.75" customHeight="1">
      <c r="J5393" s="4"/>
      <c r="K5393" s="4"/>
    </row>
    <row r="5394" spans="10:11" ht="15.75" customHeight="1">
      <c r="J5394" s="4"/>
      <c r="K5394" s="4"/>
    </row>
    <row r="5395" spans="10:11" ht="15.75" customHeight="1">
      <c r="J5395" s="4"/>
      <c r="K5395" s="4"/>
    </row>
    <row r="5396" spans="10:11" ht="15.75" customHeight="1">
      <c r="J5396" s="4"/>
      <c r="K5396" s="4"/>
    </row>
    <row r="5397" spans="10:11" ht="15.75" customHeight="1">
      <c r="J5397" s="4"/>
      <c r="K5397" s="4"/>
    </row>
    <row r="5398" spans="10:11" ht="15.75" customHeight="1">
      <c r="J5398" s="4"/>
      <c r="K5398" s="4"/>
    </row>
    <row r="5399" spans="10:11" ht="15.75" customHeight="1">
      <c r="J5399" s="4"/>
      <c r="K5399" s="4"/>
    </row>
    <row r="5400" spans="10:11" ht="15.75" customHeight="1">
      <c r="J5400" s="4"/>
      <c r="K5400" s="4"/>
    </row>
    <row r="5401" spans="10:11" ht="15.75" customHeight="1">
      <c r="J5401" s="4"/>
      <c r="K5401" s="4"/>
    </row>
    <row r="5402" spans="10:11" ht="15.75" customHeight="1">
      <c r="J5402" s="4"/>
      <c r="K5402" s="4"/>
    </row>
    <row r="5403" spans="10:11" ht="15.75" customHeight="1">
      <c r="J5403" s="4"/>
      <c r="K5403" s="4"/>
    </row>
    <row r="5404" spans="10:11" ht="15.75" customHeight="1">
      <c r="J5404" s="4"/>
      <c r="K5404" s="4"/>
    </row>
    <row r="5405" spans="10:11" ht="15.75" customHeight="1">
      <c r="J5405" s="4"/>
      <c r="K5405" s="4"/>
    </row>
    <row r="5406" spans="10:11" ht="15.75" customHeight="1">
      <c r="J5406" s="4"/>
      <c r="K5406" s="4"/>
    </row>
    <row r="5407" spans="10:11" ht="15.75" customHeight="1">
      <c r="J5407" s="4"/>
      <c r="K5407" s="4"/>
    </row>
    <row r="5408" spans="10:11" ht="15.75" customHeight="1">
      <c r="J5408" s="4"/>
      <c r="K5408" s="4"/>
    </row>
    <row r="5409" spans="10:11" ht="15.75" customHeight="1">
      <c r="J5409" s="4"/>
      <c r="K5409" s="4"/>
    </row>
    <row r="5410" spans="10:11" ht="15.75" customHeight="1">
      <c r="J5410" s="4"/>
      <c r="K5410" s="4"/>
    </row>
    <row r="5411" spans="10:11" ht="15.75" customHeight="1">
      <c r="J5411" s="4"/>
      <c r="K5411" s="4"/>
    </row>
    <row r="5412" spans="10:11" ht="15.75" customHeight="1">
      <c r="J5412" s="4"/>
      <c r="K5412" s="4"/>
    </row>
    <row r="5413" spans="10:11" ht="15.75" customHeight="1">
      <c r="J5413" s="4"/>
      <c r="K5413" s="4"/>
    </row>
    <row r="5414" spans="10:11" ht="15.75" customHeight="1">
      <c r="J5414" s="4"/>
      <c r="K5414" s="4"/>
    </row>
    <row r="5415" spans="10:11" ht="15.75" customHeight="1">
      <c r="J5415" s="4"/>
      <c r="K5415" s="4"/>
    </row>
    <row r="5416" spans="10:11" ht="15.75" customHeight="1">
      <c r="J5416" s="4"/>
      <c r="K5416" s="4"/>
    </row>
    <row r="5417" spans="10:11" ht="15.75" customHeight="1">
      <c r="J5417" s="4"/>
      <c r="K5417" s="4"/>
    </row>
    <row r="5418" spans="10:11" ht="15.75" customHeight="1">
      <c r="J5418" s="4"/>
      <c r="K5418" s="4"/>
    </row>
    <row r="5419" spans="10:11" ht="15.75" customHeight="1">
      <c r="J5419" s="4"/>
      <c r="K5419" s="4"/>
    </row>
    <row r="5420" spans="10:11" ht="15.75" customHeight="1">
      <c r="J5420" s="4"/>
      <c r="K5420" s="4"/>
    </row>
    <row r="5421" spans="10:11" ht="15.75" customHeight="1">
      <c r="J5421" s="4"/>
      <c r="K5421" s="4"/>
    </row>
    <row r="5422" spans="10:11" ht="15.75" customHeight="1">
      <c r="J5422" s="4"/>
      <c r="K5422" s="4"/>
    </row>
    <row r="5423" spans="10:11" ht="15.75" customHeight="1">
      <c r="J5423" s="4"/>
      <c r="K5423" s="4"/>
    </row>
    <row r="5424" spans="10:11" ht="15.75" customHeight="1">
      <c r="J5424" s="4"/>
      <c r="K5424" s="4"/>
    </row>
    <row r="5425" spans="10:11" ht="15.75" customHeight="1">
      <c r="J5425" s="4"/>
      <c r="K5425" s="4"/>
    </row>
    <row r="5426" spans="10:11" ht="15.75" customHeight="1">
      <c r="J5426" s="4"/>
      <c r="K5426" s="4"/>
    </row>
    <row r="5427" spans="10:11" ht="15.75" customHeight="1">
      <c r="J5427" s="4"/>
      <c r="K5427" s="4"/>
    </row>
    <row r="5428" spans="10:11" ht="15.75" customHeight="1">
      <c r="J5428" s="4"/>
      <c r="K5428" s="4"/>
    </row>
    <row r="5429" spans="10:11" ht="15.75" customHeight="1">
      <c r="J5429" s="4"/>
      <c r="K5429" s="4"/>
    </row>
    <row r="5430" spans="10:11" ht="15.75" customHeight="1">
      <c r="J5430" s="4"/>
      <c r="K5430" s="4"/>
    </row>
    <row r="5431" spans="10:11" ht="15.75" customHeight="1">
      <c r="J5431" s="4"/>
      <c r="K5431" s="4"/>
    </row>
    <row r="5432" spans="10:11" ht="15.75" customHeight="1">
      <c r="J5432" s="4"/>
      <c r="K5432" s="4"/>
    </row>
    <row r="5433" spans="10:11" ht="15.75" customHeight="1">
      <c r="J5433" s="4"/>
      <c r="K5433" s="4"/>
    </row>
    <row r="5434" spans="10:11" ht="15.75" customHeight="1">
      <c r="J5434" s="4"/>
      <c r="K5434" s="4"/>
    </row>
    <row r="5435" spans="10:11" ht="15.75" customHeight="1">
      <c r="J5435" s="4"/>
      <c r="K5435" s="4"/>
    </row>
    <row r="5436" spans="10:11" ht="15.75" customHeight="1">
      <c r="J5436" s="4"/>
      <c r="K5436" s="4"/>
    </row>
    <row r="5437" spans="10:11" ht="15.75" customHeight="1">
      <c r="J5437" s="4"/>
      <c r="K5437" s="4"/>
    </row>
    <row r="5438" spans="10:11" ht="15.75" customHeight="1">
      <c r="J5438" s="4"/>
      <c r="K5438" s="4"/>
    </row>
    <row r="5439" spans="10:11" ht="15.75" customHeight="1">
      <c r="J5439" s="4"/>
      <c r="K5439" s="4"/>
    </row>
    <row r="5440" spans="10:11" ht="15.75" customHeight="1">
      <c r="J5440" s="4"/>
      <c r="K5440" s="4"/>
    </row>
    <row r="5441" spans="10:11" ht="15.75" customHeight="1">
      <c r="J5441" s="4"/>
      <c r="K5441" s="4"/>
    </row>
    <row r="5442" spans="10:11" ht="15.75" customHeight="1">
      <c r="J5442" s="4"/>
      <c r="K5442" s="4"/>
    </row>
    <row r="5443" spans="10:11" ht="15.75" customHeight="1">
      <c r="J5443" s="4"/>
      <c r="K5443" s="4"/>
    </row>
    <row r="5444" spans="10:11" ht="15.75" customHeight="1">
      <c r="J5444" s="4"/>
      <c r="K5444" s="4"/>
    </row>
    <row r="5445" spans="10:11" ht="15.75" customHeight="1">
      <c r="J5445" s="4"/>
      <c r="K5445" s="4"/>
    </row>
    <row r="5446" spans="10:11" ht="15.75" customHeight="1">
      <c r="J5446" s="4"/>
      <c r="K5446" s="4"/>
    </row>
    <row r="5447" spans="10:11" ht="15.75" customHeight="1">
      <c r="J5447" s="4"/>
      <c r="K5447" s="4"/>
    </row>
    <row r="5448" spans="10:11" ht="15.75" customHeight="1">
      <c r="J5448" s="4"/>
      <c r="K5448" s="4"/>
    </row>
    <row r="5449" spans="10:11" ht="15.75" customHeight="1">
      <c r="J5449" s="4"/>
      <c r="K5449" s="4"/>
    </row>
    <row r="5450" spans="10:11" ht="15.75" customHeight="1">
      <c r="J5450" s="4"/>
      <c r="K5450" s="4"/>
    </row>
    <row r="5451" spans="10:11" ht="15.75" customHeight="1">
      <c r="J5451" s="4"/>
      <c r="K5451" s="4"/>
    </row>
    <row r="5452" spans="10:11" ht="15.75" customHeight="1">
      <c r="J5452" s="4"/>
      <c r="K5452" s="4"/>
    </row>
    <row r="5453" spans="10:11" ht="15.75" customHeight="1">
      <c r="J5453" s="4"/>
      <c r="K5453" s="4"/>
    </row>
    <row r="5454" spans="10:11" ht="15.75" customHeight="1">
      <c r="J5454" s="4"/>
      <c r="K5454" s="4"/>
    </row>
    <row r="5455" spans="10:11" ht="15.75" customHeight="1">
      <c r="J5455" s="4"/>
      <c r="K5455" s="4"/>
    </row>
    <row r="5456" spans="10:11" ht="15.75" customHeight="1">
      <c r="J5456" s="4"/>
      <c r="K5456" s="4"/>
    </row>
    <row r="5457" spans="10:11" ht="15.75" customHeight="1">
      <c r="J5457" s="4"/>
      <c r="K5457" s="4"/>
    </row>
    <row r="5458" spans="10:11" ht="15.75" customHeight="1">
      <c r="J5458" s="4"/>
      <c r="K5458" s="4"/>
    </row>
    <row r="5459" spans="10:11" ht="15.75" customHeight="1">
      <c r="J5459" s="4"/>
      <c r="K5459" s="4"/>
    </row>
    <row r="5460" spans="10:11" ht="15.75" customHeight="1">
      <c r="J5460" s="4"/>
      <c r="K5460" s="4"/>
    </row>
    <row r="5461" spans="10:11" ht="15.75" customHeight="1">
      <c r="J5461" s="4"/>
      <c r="K5461" s="4"/>
    </row>
    <row r="5462" spans="10:11" ht="15.75" customHeight="1">
      <c r="J5462" s="4"/>
      <c r="K5462" s="4"/>
    </row>
    <row r="5463" spans="10:11" ht="15.75" customHeight="1">
      <c r="J5463" s="4"/>
      <c r="K5463" s="4"/>
    </row>
    <row r="5464" spans="10:11" ht="15.75" customHeight="1">
      <c r="J5464" s="4"/>
      <c r="K5464" s="4"/>
    </row>
    <row r="5465" spans="10:11" ht="15.75" customHeight="1">
      <c r="J5465" s="4"/>
      <c r="K5465" s="4"/>
    </row>
    <row r="5466" spans="10:11" ht="15.75" customHeight="1">
      <c r="J5466" s="4"/>
      <c r="K5466" s="4"/>
    </row>
    <row r="5467" spans="10:11" ht="15.75" customHeight="1">
      <c r="J5467" s="4"/>
      <c r="K5467" s="4"/>
    </row>
    <row r="5468" spans="10:11" ht="15.75" customHeight="1">
      <c r="J5468" s="4"/>
      <c r="K5468" s="4"/>
    </row>
    <row r="5469" spans="10:11" ht="15.75" customHeight="1">
      <c r="J5469" s="4"/>
      <c r="K5469" s="4"/>
    </row>
    <row r="5470" spans="10:11" ht="15.75" customHeight="1">
      <c r="J5470" s="4"/>
      <c r="K5470" s="4"/>
    </row>
    <row r="5471" spans="10:11" ht="15.75" customHeight="1">
      <c r="J5471" s="4"/>
      <c r="K5471" s="4"/>
    </row>
    <row r="5472" spans="10:11" ht="15.75" customHeight="1">
      <c r="J5472" s="4"/>
      <c r="K5472" s="4"/>
    </row>
    <row r="5473" spans="10:11" ht="15.75" customHeight="1">
      <c r="J5473" s="4"/>
      <c r="K5473" s="4"/>
    </row>
    <row r="5474" spans="10:11" ht="15.75" customHeight="1">
      <c r="J5474" s="4"/>
      <c r="K5474" s="4"/>
    </row>
    <row r="5475" spans="10:11" ht="15.75" customHeight="1">
      <c r="J5475" s="4"/>
      <c r="K5475" s="4"/>
    </row>
    <row r="5476" spans="10:11" ht="15.75" customHeight="1">
      <c r="J5476" s="4"/>
      <c r="K5476" s="4"/>
    </row>
    <row r="5477" spans="10:11" ht="15.75" customHeight="1">
      <c r="J5477" s="4"/>
      <c r="K5477" s="4"/>
    </row>
    <row r="5478" spans="10:11" ht="15.75" customHeight="1">
      <c r="J5478" s="4"/>
      <c r="K5478" s="4"/>
    </row>
    <row r="5479" spans="10:11" ht="15.75" customHeight="1">
      <c r="J5479" s="4"/>
      <c r="K5479" s="4"/>
    </row>
    <row r="5480" spans="10:11" ht="15.75" customHeight="1">
      <c r="J5480" s="4"/>
      <c r="K5480" s="4"/>
    </row>
    <row r="5481" spans="10:11" ht="15.75" customHeight="1">
      <c r="J5481" s="4"/>
      <c r="K5481" s="4"/>
    </row>
    <row r="5482" spans="10:11" ht="15.75" customHeight="1">
      <c r="J5482" s="4"/>
      <c r="K5482" s="4"/>
    </row>
    <row r="5483" spans="10:11" ht="15.75" customHeight="1">
      <c r="J5483" s="4"/>
      <c r="K5483" s="4"/>
    </row>
    <row r="5484" spans="10:11" ht="15.75" customHeight="1">
      <c r="J5484" s="4"/>
      <c r="K5484" s="4"/>
    </row>
    <row r="5485" spans="10:11" ht="15.75" customHeight="1">
      <c r="J5485" s="4"/>
      <c r="K5485" s="4"/>
    </row>
    <row r="5486" spans="10:11" ht="15.75" customHeight="1">
      <c r="J5486" s="4"/>
      <c r="K5486" s="4"/>
    </row>
    <row r="5487" spans="10:11" ht="15.75" customHeight="1">
      <c r="J5487" s="4"/>
      <c r="K5487" s="4"/>
    </row>
    <row r="5488" spans="10:11" ht="15.75" customHeight="1">
      <c r="J5488" s="4"/>
      <c r="K5488" s="4"/>
    </row>
    <row r="5489" spans="10:11" ht="15.75" customHeight="1">
      <c r="J5489" s="4"/>
      <c r="K5489" s="4"/>
    </row>
    <row r="5490" spans="10:11" ht="15.75" customHeight="1">
      <c r="J5490" s="4"/>
      <c r="K5490" s="4"/>
    </row>
    <row r="5491" spans="10:11" ht="15.75" customHeight="1">
      <c r="J5491" s="4"/>
      <c r="K5491" s="4"/>
    </row>
    <row r="5492" spans="10:11" ht="15.75" customHeight="1">
      <c r="J5492" s="4"/>
      <c r="K5492" s="4"/>
    </row>
    <row r="5493" spans="10:11" ht="15.75" customHeight="1">
      <c r="J5493" s="4"/>
      <c r="K5493" s="4"/>
    </row>
    <row r="5494" spans="10:11" ht="15.75" customHeight="1">
      <c r="J5494" s="4"/>
      <c r="K5494" s="4"/>
    </row>
    <row r="5495" spans="10:11" ht="15.75" customHeight="1">
      <c r="J5495" s="4"/>
      <c r="K5495" s="4"/>
    </row>
    <row r="5496" spans="10:11" ht="15.75" customHeight="1">
      <c r="J5496" s="4"/>
      <c r="K5496" s="4"/>
    </row>
    <row r="5497" spans="10:11" ht="15.75" customHeight="1">
      <c r="J5497" s="4"/>
      <c r="K5497" s="4"/>
    </row>
    <row r="5498" spans="10:11" ht="15.75" customHeight="1">
      <c r="J5498" s="4"/>
      <c r="K5498" s="4"/>
    </row>
    <row r="5499" spans="10:11" ht="15.75" customHeight="1">
      <c r="J5499" s="4"/>
      <c r="K5499" s="4"/>
    </row>
    <row r="5500" spans="10:11" ht="15.75" customHeight="1">
      <c r="J5500" s="4"/>
      <c r="K5500" s="4"/>
    </row>
    <row r="5501" spans="10:11" ht="15.75" customHeight="1">
      <c r="J5501" s="4"/>
      <c r="K5501" s="4"/>
    </row>
    <row r="5502" spans="10:11" ht="15.75" customHeight="1">
      <c r="J5502" s="4"/>
      <c r="K5502" s="4"/>
    </row>
    <row r="5503" spans="10:11" ht="15.75" customHeight="1">
      <c r="J5503" s="4"/>
      <c r="K5503" s="4"/>
    </row>
    <row r="5504" spans="10:11" ht="15.75" customHeight="1">
      <c r="J5504" s="4"/>
      <c r="K5504" s="4"/>
    </row>
    <row r="5505" spans="10:11" ht="15.75" customHeight="1">
      <c r="J5505" s="4"/>
      <c r="K5505" s="4"/>
    </row>
    <row r="5506" spans="10:11" ht="15.75" customHeight="1">
      <c r="J5506" s="4"/>
      <c r="K5506" s="4"/>
    </row>
    <row r="5507" spans="10:11" ht="15.75" customHeight="1">
      <c r="J5507" s="4"/>
      <c r="K5507" s="4"/>
    </row>
    <row r="5508" spans="10:11" ht="15.75" customHeight="1">
      <c r="J5508" s="4"/>
      <c r="K5508" s="4"/>
    </row>
    <row r="5509" spans="10:11" ht="15.75" customHeight="1">
      <c r="J5509" s="4"/>
      <c r="K5509" s="4"/>
    </row>
    <row r="5510" spans="10:11" ht="15.75" customHeight="1">
      <c r="J5510" s="4"/>
      <c r="K5510" s="4"/>
    </row>
    <row r="5511" spans="10:11" ht="15.75" customHeight="1">
      <c r="J5511" s="4"/>
      <c r="K5511" s="4"/>
    </row>
    <row r="5512" spans="10:11" ht="15.75" customHeight="1">
      <c r="J5512" s="4"/>
      <c r="K5512" s="4"/>
    </row>
    <row r="5513" spans="10:11" ht="15.75" customHeight="1">
      <c r="J5513" s="4"/>
      <c r="K5513" s="4"/>
    </row>
    <row r="5514" spans="10:11" ht="15.75" customHeight="1">
      <c r="J5514" s="4"/>
      <c r="K5514" s="4"/>
    </row>
    <row r="5515" spans="10:11" ht="15.75" customHeight="1">
      <c r="J5515" s="4"/>
      <c r="K5515" s="4"/>
    </row>
    <row r="5516" spans="10:11" ht="15.75" customHeight="1">
      <c r="J5516" s="4"/>
      <c r="K5516" s="4"/>
    </row>
    <row r="5517" spans="10:11" ht="15.75" customHeight="1">
      <c r="J5517" s="4"/>
      <c r="K5517" s="4"/>
    </row>
    <row r="5518" spans="10:11" ht="15.75" customHeight="1">
      <c r="J5518" s="4"/>
      <c r="K5518" s="4"/>
    </row>
    <row r="5519" spans="10:11" ht="15.75" customHeight="1">
      <c r="J5519" s="4"/>
      <c r="K5519" s="4"/>
    </row>
    <row r="5520" spans="10:11" ht="15.75" customHeight="1">
      <c r="J5520" s="4"/>
      <c r="K5520" s="4"/>
    </row>
    <row r="5521" spans="10:11" ht="15.75" customHeight="1">
      <c r="J5521" s="4"/>
      <c r="K5521" s="4"/>
    </row>
    <row r="5522" spans="10:11" ht="15.75" customHeight="1">
      <c r="J5522" s="4"/>
      <c r="K5522" s="4"/>
    </row>
    <row r="5523" spans="10:11" ht="15.75" customHeight="1">
      <c r="J5523" s="4"/>
      <c r="K5523" s="4"/>
    </row>
    <row r="5524" spans="10:11" ht="15.75" customHeight="1">
      <c r="J5524" s="4"/>
      <c r="K5524" s="4"/>
    </row>
    <row r="5525" spans="10:11" ht="15.75" customHeight="1">
      <c r="J5525" s="4"/>
      <c r="K5525" s="4"/>
    </row>
    <row r="5526" spans="10:11" ht="15.75" customHeight="1">
      <c r="J5526" s="4"/>
      <c r="K5526" s="4"/>
    </row>
    <row r="5527" spans="10:11" ht="15.75" customHeight="1">
      <c r="J5527" s="4"/>
      <c r="K5527" s="4"/>
    </row>
    <row r="5528" spans="10:11" ht="15.75" customHeight="1">
      <c r="J5528" s="4"/>
      <c r="K5528" s="4"/>
    </row>
    <row r="5529" spans="10:11" ht="15.75" customHeight="1">
      <c r="J5529" s="4"/>
      <c r="K5529" s="4"/>
    </row>
    <row r="5530" spans="10:11" ht="15.75" customHeight="1">
      <c r="J5530" s="4"/>
      <c r="K5530" s="4"/>
    </row>
    <row r="5531" spans="10:11" ht="15.75" customHeight="1">
      <c r="J5531" s="4"/>
      <c r="K5531" s="4"/>
    </row>
    <row r="5532" spans="10:11" ht="15.75" customHeight="1">
      <c r="J5532" s="4"/>
      <c r="K5532" s="4"/>
    </row>
    <row r="5533" spans="10:11" ht="15.75" customHeight="1">
      <c r="J5533" s="4"/>
      <c r="K5533" s="4"/>
    </row>
    <row r="5534" spans="10:11" ht="15.75" customHeight="1">
      <c r="J5534" s="4"/>
      <c r="K5534" s="4"/>
    </row>
    <row r="5535" spans="10:11" ht="15.75" customHeight="1">
      <c r="J5535" s="4"/>
      <c r="K5535" s="4"/>
    </row>
    <row r="5536" spans="10:11" ht="15.75" customHeight="1">
      <c r="J5536" s="4"/>
      <c r="K5536" s="4"/>
    </row>
    <row r="5537" spans="10:11" ht="15.75" customHeight="1">
      <c r="J5537" s="4"/>
      <c r="K5537" s="4"/>
    </row>
    <row r="5538" spans="10:11" ht="15.75" customHeight="1">
      <c r="J5538" s="4"/>
      <c r="K5538" s="4"/>
    </row>
    <row r="5539" spans="10:11" ht="15.75" customHeight="1">
      <c r="J5539" s="4"/>
      <c r="K5539" s="4"/>
    </row>
    <row r="5540" spans="10:11" ht="15.75" customHeight="1">
      <c r="J5540" s="4"/>
      <c r="K5540" s="4"/>
    </row>
    <row r="5541" spans="10:11" ht="15.75" customHeight="1">
      <c r="J5541" s="4"/>
      <c r="K5541" s="4"/>
    </row>
    <row r="5542" spans="10:11" ht="15.75" customHeight="1">
      <c r="J5542" s="4"/>
      <c r="K5542" s="4"/>
    </row>
    <row r="5543" spans="10:11" ht="15.75" customHeight="1">
      <c r="J5543" s="4"/>
      <c r="K5543" s="4"/>
    </row>
    <row r="5544" spans="10:11" ht="15.75" customHeight="1">
      <c r="J5544" s="4"/>
      <c r="K5544" s="4"/>
    </row>
    <row r="5545" spans="10:11" ht="15.75" customHeight="1">
      <c r="J5545" s="4"/>
      <c r="K5545" s="4"/>
    </row>
    <row r="5546" spans="10:11" ht="15.75" customHeight="1">
      <c r="J5546" s="4"/>
      <c r="K5546" s="4"/>
    </row>
    <row r="5547" spans="10:11" ht="15.75" customHeight="1">
      <c r="J5547" s="4"/>
      <c r="K5547" s="4"/>
    </row>
    <row r="5548" spans="10:11" ht="15.75" customHeight="1">
      <c r="J5548" s="4"/>
      <c r="K5548" s="4"/>
    </row>
    <row r="5549" spans="10:11" ht="15.75" customHeight="1">
      <c r="J5549" s="4"/>
      <c r="K5549" s="4"/>
    </row>
    <row r="5550" spans="10:11" ht="15.75" customHeight="1">
      <c r="J5550" s="4"/>
      <c r="K5550" s="4"/>
    </row>
    <row r="5551" spans="10:11" ht="15.75" customHeight="1">
      <c r="J5551" s="4"/>
      <c r="K5551" s="4"/>
    </row>
    <row r="5552" spans="10:11" ht="15.75" customHeight="1">
      <c r="J5552" s="4"/>
      <c r="K5552" s="4"/>
    </row>
    <row r="5553" spans="10:11" ht="15.75" customHeight="1">
      <c r="J5553" s="4"/>
      <c r="K5553" s="4"/>
    </row>
    <row r="5554" spans="10:11" ht="15.75" customHeight="1">
      <c r="J5554" s="4"/>
      <c r="K5554" s="4"/>
    </row>
    <row r="5555" spans="10:11" ht="15.75" customHeight="1">
      <c r="J5555" s="4"/>
      <c r="K5555" s="4"/>
    </row>
    <row r="5556" spans="10:11" ht="15.75" customHeight="1">
      <c r="J5556" s="4"/>
      <c r="K5556" s="4"/>
    </row>
    <row r="5557" spans="10:11" ht="15.75" customHeight="1">
      <c r="J5557" s="4"/>
      <c r="K5557" s="4"/>
    </row>
    <row r="5558" spans="10:11" ht="15.75" customHeight="1">
      <c r="J5558" s="4"/>
      <c r="K5558" s="4"/>
    </row>
    <row r="5559" spans="10:11" ht="15.75" customHeight="1">
      <c r="J5559" s="4"/>
      <c r="K5559" s="4"/>
    </row>
    <row r="5560" spans="10:11" ht="15.75" customHeight="1">
      <c r="J5560" s="4"/>
      <c r="K5560" s="4"/>
    </row>
    <row r="5561" spans="10:11" ht="15.75" customHeight="1">
      <c r="J5561" s="4"/>
      <c r="K5561" s="4"/>
    </row>
    <row r="5562" spans="10:11" ht="15.75" customHeight="1">
      <c r="J5562" s="4"/>
      <c r="K5562" s="4"/>
    </row>
    <row r="5563" spans="10:11" ht="15.75" customHeight="1">
      <c r="J5563" s="4"/>
      <c r="K5563" s="4"/>
    </row>
    <row r="5564" spans="10:11" ht="15.75" customHeight="1">
      <c r="J5564" s="4"/>
      <c r="K5564" s="4"/>
    </row>
    <row r="5565" spans="10:11" ht="15.75" customHeight="1">
      <c r="J5565" s="4"/>
      <c r="K5565" s="4"/>
    </row>
    <row r="5566" spans="10:11" ht="15.75" customHeight="1">
      <c r="J5566" s="4"/>
      <c r="K5566" s="4"/>
    </row>
    <row r="5567" spans="10:11" ht="15.75" customHeight="1">
      <c r="J5567" s="4"/>
      <c r="K5567" s="4"/>
    </row>
    <row r="5568" spans="10:11" ht="15.75" customHeight="1">
      <c r="J5568" s="4"/>
      <c r="K5568" s="4"/>
    </row>
    <row r="5569" spans="10:11" ht="15.75" customHeight="1">
      <c r="J5569" s="4"/>
      <c r="K5569" s="4"/>
    </row>
    <row r="5570" spans="10:11" ht="15.75" customHeight="1">
      <c r="J5570" s="4"/>
      <c r="K5570" s="4"/>
    </row>
    <row r="5571" spans="10:11" ht="15.75" customHeight="1">
      <c r="J5571" s="4"/>
      <c r="K5571" s="4"/>
    </row>
    <row r="5572" spans="10:11" ht="15.75" customHeight="1">
      <c r="J5572" s="4"/>
      <c r="K5572" s="4"/>
    </row>
    <row r="5573" spans="10:11" ht="15.75" customHeight="1">
      <c r="J5573" s="4"/>
      <c r="K5573" s="4"/>
    </row>
    <row r="5574" spans="10:11" ht="15.75" customHeight="1">
      <c r="J5574" s="4"/>
      <c r="K5574" s="4"/>
    </row>
    <row r="5575" spans="10:11" ht="15.75" customHeight="1">
      <c r="J5575" s="4"/>
      <c r="K5575" s="4"/>
    </row>
    <row r="5576" spans="10:11" ht="15.75" customHeight="1">
      <c r="J5576" s="4"/>
      <c r="K5576" s="4"/>
    </row>
    <row r="5577" spans="10:11" ht="15.75" customHeight="1">
      <c r="J5577" s="4"/>
      <c r="K5577" s="4"/>
    </row>
    <row r="5578" spans="10:11" ht="15.75" customHeight="1">
      <c r="J5578" s="4"/>
      <c r="K5578" s="4"/>
    </row>
    <row r="5579" spans="10:11" ht="15.75" customHeight="1">
      <c r="J5579" s="4"/>
      <c r="K5579" s="4"/>
    </row>
    <row r="5580" spans="10:11" ht="15.75" customHeight="1">
      <c r="J5580" s="4"/>
      <c r="K5580" s="4"/>
    </row>
    <row r="5581" spans="10:11" ht="15.75" customHeight="1">
      <c r="J5581" s="4"/>
      <c r="K5581" s="4"/>
    </row>
    <row r="5582" spans="10:11" ht="15.75" customHeight="1">
      <c r="J5582" s="4"/>
      <c r="K5582" s="4"/>
    </row>
    <row r="5583" spans="10:11" ht="15.75" customHeight="1">
      <c r="J5583" s="4"/>
      <c r="K5583" s="4"/>
    </row>
    <row r="5584" spans="10:11" ht="15.75" customHeight="1">
      <c r="J5584" s="4"/>
      <c r="K5584" s="4"/>
    </row>
    <row r="5585" spans="10:11" ht="15.75" customHeight="1">
      <c r="J5585" s="4"/>
      <c r="K5585" s="4"/>
    </row>
    <row r="5586" spans="10:11" ht="15.75" customHeight="1">
      <c r="J5586" s="4"/>
      <c r="K5586" s="4"/>
    </row>
    <row r="5587" spans="10:11" ht="15.75" customHeight="1">
      <c r="J5587" s="4"/>
      <c r="K5587" s="4"/>
    </row>
    <row r="5588" spans="10:11" ht="15.75" customHeight="1">
      <c r="J5588" s="4"/>
      <c r="K5588" s="4"/>
    </row>
    <row r="5589" spans="10:11" ht="15.75" customHeight="1">
      <c r="J5589" s="4"/>
      <c r="K5589" s="4"/>
    </row>
    <row r="5590" spans="10:11" ht="15.75" customHeight="1">
      <c r="J5590" s="4"/>
      <c r="K5590" s="4"/>
    </row>
    <row r="5591" spans="10:11" ht="15.75" customHeight="1">
      <c r="J5591" s="4"/>
      <c r="K5591" s="4"/>
    </row>
    <row r="5592" spans="10:11" ht="15.75" customHeight="1">
      <c r="J5592" s="4"/>
      <c r="K5592" s="4"/>
    </row>
    <row r="5593" spans="10:11" ht="15.75" customHeight="1">
      <c r="J5593" s="4"/>
      <c r="K5593" s="4"/>
    </row>
    <row r="5594" spans="10:11" ht="15.75" customHeight="1">
      <c r="J5594" s="4"/>
      <c r="K5594" s="4"/>
    </row>
    <row r="5595" spans="10:11" ht="15.75" customHeight="1">
      <c r="J5595" s="4"/>
      <c r="K5595" s="4"/>
    </row>
    <row r="5596" spans="10:11" ht="15.75" customHeight="1">
      <c r="J5596" s="4"/>
      <c r="K5596" s="4"/>
    </row>
    <row r="5597" spans="10:11" ht="15.75" customHeight="1">
      <c r="J5597" s="4"/>
      <c r="K5597" s="4"/>
    </row>
    <row r="5598" spans="10:11" ht="15.75" customHeight="1">
      <c r="J5598" s="4"/>
      <c r="K5598" s="4"/>
    </row>
    <row r="5599" spans="10:11" ht="15.75" customHeight="1">
      <c r="J5599" s="4"/>
      <c r="K5599" s="4"/>
    </row>
    <row r="5600" spans="10:11" ht="15.75" customHeight="1">
      <c r="J5600" s="4"/>
      <c r="K5600" s="4"/>
    </row>
    <row r="5601" spans="10:11" ht="15.75" customHeight="1">
      <c r="J5601" s="4"/>
      <c r="K5601" s="4"/>
    </row>
    <row r="5602" spans="10:11" ht="15.75" customHeight="1">
      <c r="J5602" s="4"/>
      <c r="K5602" s="4"/>
    </row>
    <row r="5603" spans="10:11" ht="15.75" customHeight="1">
      <c r="J5603" s="4"/>
      <c r="K5603" s="4"/>
    </row>
    <row r="5604" spans="10:11" ht="15.75" customHeight="1">
      <c r="J5604" s="4"/>
      <c r="K5604" s="4"/>
    </row>
    <row r="5605" spans="10:11" ht="15.75" customHeight="1">
      <c r="J5605" s="4"/>
      <c r="K5605" s="4"/>
    </row>
    <row r="5606" spans="10:11" ht="15.75" customHeight="1">
      <c r="J5606" s="4"/>
      <c r="K5606" s="4"/>
    </row>
    <row r="5607" spans="10:11" ht="15.75" customHeight="1">
      <c r="J5607" s="4"/>
      <c r="K5607" s="4"/>
    </row>
    <row r="5608" spans="10:11" ht="15.75" customHeight="1">
      <c r="J5608" s="4"/>
      <c r="K5608" s="4"/>
    </row>
    <row r="5609" spans="10:11" ht="15.75" customHeight="1">
      <c r="J5609" s="4"/>
      <c r="K5609" s="4"/>
    </row>
    <row r="5610" spans="10:11" ht="15.75" customHeight="1">
      <c r="J5610" s="4"/>
      <c r="K5610" s="4"/>
    </row>
    <row r="5611" spans="10:11" ht="15.75" customHeight="1">
      <c r="J5611" s="4"/>
      <c r="K5611" s="4"/>
    </row>
    <row r="5612" spans="10:11" ht="15.75" customHeight="1">
      <c r="J5612" s="4"/>
      <c r="K5612" s="4"/>
    </row>
    <row r="5613" spans="10:11" ht="15.75" customHeight="1">
      <c r="J5613" s="4"/>
      <c r="K5613" s="4"/>
    </row>
    <row r="5614" spans="10:11" ht="15.75" customHeight="1">
      <c r="J5614" s="4"/>
      <c r="K5614" s="4"/>
    </row>
    <row r="5615" spans="10:11" ht="15.75" customHeight="1">
      <c r="J5615" s="4"/>
      <c r="K5615" s="4"/>
    </row>
    <row r="5616" spans="10:11" ht="15.75" customHeight="1">
      <c r="J5616" s="4"/>
      <c r="K5616" s="4"/>
    </row>
    <row r="5617" spans="10:11" ht="15.75" customHeight="1">
      <c r="J5617" s="4"/>
      <c r="K5617" s="4"/>
    </row>
    <row r="5618" spans="10:11" ht="15.75" customHeight="1">
      <c r="J5618" s="4"/>
      <c r="K5618" s="4"/>
    </row>
    <row r="5619" spans="10:11" ht="15.75" customHeight="1">
      <c r="J5619" s="4"/>
      <c r="K5619" s="4"/>
    </row>
    <row r="5620" spans="10:11" ht="15.75" customHeight="1">
      <c r="J5620" s="4"/>
      <c r="K5620" s="4"/>
    </row>
    <row r="5621" spans="10:11" ht="15.75" customHeight="1">
      <c r="J5621" s="4"/>
      <c r="K5621" s="4"/>
    </row>
    <row r="5622" spans="10:11" ht="15.75" customHeight="1">
      <c r="J5622" s="4"/>
      <c r="K5622" s="4"/>
    </row>
    <row r="5623" spans="10:11" ht="15.75" customHeight="1">
      <c r="J5623" s="4"/>
      <c r="K5623" s="4"/>
    </row>
    <row r="5624" spans="10:11" ht="15.75" customHeight="1">
      <c r="J5624" s="4"/>
      <c r="K5624" s="4"/>
    </row>
    <row r="5625" spans="10:11" ht="15.75" customHeight="1">
      <c r="J5625" s="4"/>
      <c r="K5625" s="4"/>
    </row>
    <row r="5626" spans="10:11" ht="15.75" customHeight="1">
      <c r="J5626" s="4"/>
      <c r="K5626" s="4"/>
    </row>
    <row r="5627" spans="10:11" ht="15.75" customHeight="1">
      <c r="J5627" s="4"/>
      <c r="K5627" s="4"/>
    </row>
    <row r="5628" spans="10:11" ht="15.75" customHeight="1">
      <c r="J5628" s="4"/>
      <c r="K5628" s="4"/>
    </row>
    <row r="5629" spans="10:11" ht="15.75" customHeight="1">
      <c r="J5629" s="4"/>
      <c r="K5629" s="4"/>
    </row>
    <row r="5630" spans="10:11" ht="15.75" customHeight="1">
      <c r="J5630" s="4"/>
      <c r="K5630" s="4"/>
    </row>
    <row r="5631" spans="10:11" ht="15.75" customHeight="1">
      <c r="J5631" s="4"/>
      <c r="K5631" s="4"/>
    </row>
    <row r="5632" spans="10:11" ht="15.75" customHeight="1">
      <c r="J5632" s="4"/>
      <c r="K5632" s="4"/>
    </row>
    <row r="5633" spans="10:11" ht="15.75" customHeight="1">
      <c r="J5633" s="4"/>
      <c r="K5633" s="4"/>
    </row>
    <row r="5634" spans="10:11" ht="15.75" customHeight="1">
      <c r="J5634" s="4"/>
      <c r="K5634" s="4"/>
    </row>
    <row r="5635" spans="10:11" ht="15.75" customHeight="1">
      <c r="J5635" s="4"/>
      <c r="K5635" s="4"/>
    </row>
    <row r="5636" spans="10:11" ht="15.75" customHeight="1">
      <c r="J5636" s="4"/>
      <c r="K5636" s="4"/>
    </row>
    <row r="5637" spans="10:11" ht="15.75" customHeight="1">
      <c r="J5637" s="4"/>
      <c r="K5637" s="4"/>
    </row>
    <row r="5638" spans="10:11" ht="15.75" customHeight="1">
      <c r="J5638" s="4"/>
      <c r="K5638" s="4"/>
    </row>
    <row r="5639" spans="10:11" ht="15.75" customHeight="1">
      <c r="J5639" s="4"/>
      <c r="K5639" s="4"/>
    </row>
    <row r="5640" spans="10:11" ht="15.75" customHeight="1">
      <c r="J5640" s="4"/>
      <c r="K5640" s="4"/>
    </row>
    <row r="5641" spans="10:11" ht="15.75" customHeight="1">
      <c r="J5641" s="4"/>
      <c r="K5641" s="4"/>
    </row>
    <row r="5642" spans="10:11" ht="15.75" customHeight="1">
      <c r="J5642" s="4"/>
      <c r="K5642" s="4"/>
    </row>
    <row r="5643" spans="10:11" ht="15.75" customHeight="1">
      <c r="J5643" s="4"/>
      <c r="K5643" s="4"/>
    </row>
    <row r="5644" spans="10:11" ht="15.75" customHeight="1">
      <c r="J5644" s="4"/>
      <c r="K5644" s="4"/>
    </row>
    <row r="5645" spans="10:11" ht="15.75" customHeight="1">
      <c r="J5645" s="4"/>
      <c r="K5645" s="4"/>
    </row>
    <row r="5646" spans="10:11" ht="15.75" customHeight="1">
      <c r="J5646" s="4"/>
      <c r="K5646" s="4"/>
    </row>
    <row r="5647" spans="10:11" ht="15.75" customHeight="1">
      <c r="J5647" s="4"/>
      <c r="K5647" s="4"/>
    </row>
    <row r="5648" spans="10:11" ht="15.75" customHeight="1">
      <c r="J5648" s="4"/>
      <c r="K5648" s="4"/>
    </row>
    <row r="5649" spans="10:11" ht="15.75" customHeight="1">
      <c r="J5649" s="4"/>
      <c r="K5649" s="4"/>
    </row>
    <row r="5650" spans="10:11" ht="15.75" customHeight="1">
      <c r="J5650" s="4"/>
      <c r="K5650" s="4"/>
    </row>
    <row r="5651" spans="10:11" ht="15.75" customHeight="1">
      <c r="J5651" s="4"/>
      <c r="K5651" s="4"/>
    </row>
    <row r="5652" spans="10:11" ht="15.75" customHeight="1">
      <c r="J5652" s="4"/>
      <c r="K5652" s="4"/>
    </row>
    <row r="5653" spans="10:11" ht="15.75" customHeight="1">
      <c r="J5653" s="4"/>
      <c r="K5653" s="4"/>
    </row>
    <row r="5654" spans="10:11" ht="15.75" customHeight="1">
      <c r="J5654" s="4"/>
      <c r="K5654" s="4"/>
    </row>
    <row r="5655" spans="10:11" ht="15.75" customHeight="1">
      <c r="J5655" s="4"/>
      <c r="K5655" s="4"/>
    </row>
    <row r="5656" spans="10:11" ht="15.75" customHeight="1">
      <c r="J5656" s="4"/>
      <c r="K5656" s="4"/>
    </row>
    <row r="5657" spans="10:11" ht="15.75" customHeight="1">
      <c r="J5657" s="4"/>
      <c r="K5657" s="4"/>
    </row>
    <row r="5658" spans="10:11" ht="15.75" customHeight="1">
      <c r="J5658" s="4"/>
      <c r="K5658" s="4"/>
    </row>
    <row r="5659" spans="10:11" ht="15.75" customHeight="1">
      <c r="J5659" s="4"/>
      <c r="K5659" s="4"/>
    </row>
    <row r="5660" spans="10:11" ht="15.75" customHeight="1">
      <c r="J5660" s="4"/>
      <c r="K5660" s="4"/>
    </row>
    <row r="5661" spans="10:11" ht="15.75" customHeight="1">
      <c r="J5661" s="4"/>
      <c r="K5661" s="4"/>
    </row>
    <row r="5662" spans="10:11" ht="15.75" customHeight="1">
      <c r="J5662" s="4"/>
      <c r="K5662" s="4"/>
    </row>
    <row r="5663" spans="10:11" ht="15.75" customHeight="1">
      <c r="J5663" s="4"/>
      <c r="K5663" s="4"/>
    </row>
    <row r="5664" spans="10:11" ht="15.75" customHeight="1">
      <c r="J5664" s="4"/>
      <c r="K5664" s="4"/>
    </row>
    <row r="5665" spans="10:11" ht="15.75" customHeight="1">
      <c r="J5665" s="4"/>
      <c r="K5665" s="4"/>
    </row>
    <row r="5666" spans="10:11" ht="15.75" customHeight="1">
      <c r="J5666" s="4"/>
      <c r="K5666" s="4"/>
    </row>
    <row r="5667" spans="10:11" ht="15.75" customHeight="1">
      <c r="J5667" s="4"/>
      <c r="K5667" s="4"/>
    </row>
    <row r="5668" spans="10:11" ht="15.75" customHeight="1">
      <c r="J5668" s="4"/>
      <c r="K5668" s="4"/>
    </row>
    <row r="5669" spans="10:11" ht="15.75" customHeight="1">
      <c r="J5669" s="4"/>
      <c r="K5669" s="4"/>
    </row>
    <row r="5670" spans="10:11" ht="15.75" customHeight="1">
      <c r="J5670" s="4"/>
      <c r="K5670" s="4"/>
    </row>
    <row r="5671" spans="10:11" ht="15.75" customHeight="1">
      <c r="J5671" s="4"/>
      <c r="K5671" s="4"/>
    </row>
    <row r="5672" spans="10:11" ht="15.75" customHeight="1">
      <c r="J5672" s="4"/>
      <c r="K5672" s="4"/>
    </row>
    <row r="5673" spans="10:11" ht="15.75" customHeight="1">
      <c r="J5673" s="4"/>
      <c r="K5673" s="4"/>
    </row>
    <row r="5674" spans="10:11" ht="15.75" customHeight="1">
      <c r="J5674" s="4"/>
      <c r="K5674" s="4"/>
    </row>
    <row r="5675" spans="10:11" ht="15.75" customHeight="1">
      <c r="J5675" s="4"/>
      <c r="K5675" s="4"/>
    </row>
    <row r="5676" spans="10:11" ht="15.75" customHeight="1">
      <c r="J5676" s="4"/>
      <c r="K5676" s="4"/>
    </row>
    <row r="5677" spans="10:11" ht="15.75" customHeight="1">
      <c r="J5677" s="4"/>
      <c r="K5677" s="4"/>
    </row>
    <row r="5678" spans="10:11" ht="15.75" customHeight="1">
      <c r="J5678" s="4"/>
      <c r="K5678" s="4"/>
    </row>
    <row r="5679" spans="10:11" ht="15.75" customHeight="1">
      <c r="J5679" s="4"/>
      <c r="K5679" s="4"/>
    </row>
    <row r="5680" spans="10:11" ht="15.75" customHeight="1">
      <c r="J5680" s="4"/>
      <c r="K5680" s="4"/>
    </row>
    <row r="5681" spans="10:11" ht="15.75" customHeight="1">
      <c r="J5681" s="4"/>
      <c r="K5681" s="4"/>
    </row>
    <row r="5682" spans="10:11" ht="15.75" customHeight="1">
      <c r="J5682" s="4"/>
      <c r="K5682" s="4"/>
    </row>
    <row r="5683" spans="10:11" ht="15.75" customHeight="1">
      <c r="J5683" s="4"/>
      <c r="K5683" s="4"/>
    </row>
    <row r="5684" spans="10:11" ht="15.75" customHeight="1">
      <c r="J5684" s="4"/>
      <c r="K5684" s="4"/>
    </row>
    <row r="5685" spans="10:11" ht="15.75" customHeight="1">
      <c r="J5685" s="4"/>
      <c r="K5685" s="4"/>
    </row>
    <row r="5686" spans="10:11" ht="15.75" customHeight="1">
      <c r="J5686" s="4"/>
      <c r="K5686" s="4"/>
    </row>
    <row r="5687" spans="10:11" ht="15.75" customHeight="1">
      <c r="J5687" s="4"/>
      <c r="K5687" s="4"/>
    </row>
    <row r="5688" spans="10:11" ht="15.75" customHeight="1">
      <c r="J5688" s="4"/>
      <c r="K5688" s="4"/>
    </row>
    <row r="5689" spans="10:11" ht="15.75" customHeight="1">
      <c r="J5689" s="4"/>
      <c r="K5689" s="4"/>
    </row>
    <row r="5690" spans="10:11" ht="15.75" customHeight="1">
      <c r="J5690" s="4"/>
      <c r="K5690" s="4"/>
    </row>
    <row r="5691" spans="10:11" ht="15.75" customHeight="1">
      <c r="J5691" s="4"/>
      <c r="K5691" s="4"/>
    </row>
    <row r="5692" spans="10:11" ht="15.75" customHeight="1">
      <c r="J5692" s="4"/>
      <c r="K5692" s="4"/>
    </row>
    <row r="5693" spans="10:11" ht="15.75" customHeight="1">
      <c r="J5693" s="4"/>
      <c r="K5693" s="4"/>
    </row>
    <row r="5694" spans="10:11" ht="15.75" customHeight="1">
      <c r="J5694" s="4"/>
      <c r="K5694" s="4"/>
    </row>
    <row r="5695" spans="10:11" ht="15.75" customHeight="1">
      <c r="J5695" s="4"/>
      <c r="K5695" s="4"/>
    </row>
    <row r="5696" spans="10:11" ht="15.75" customHeight="1">
      <c r="J5696" s="4"/>
      <c r="K5696" s="4"/>
    </row>
    <row r="5697" spans="10:11" ht="15.75" customHeight="1">
      <c r="J5697" s="4"/>
      <c r="K5697" s="4"/>
    </row>
    <row r="5698" spans="10:11" ht="15.75" customHeight="1">
      <c r="J5698" s="4"/>
      <c r="K5698" s="4"/>
    </row>
    <row r="5699" spans="10:11" ht="15.75" customHeight="1">
      <c r="J5699" s="4"/>
      <c r="K5699" s="4"/>
    </row>
    <row r="5700" spans="10:11" ht="15.75" customHeight="1">
      <c r="J5700" s="4"/>
      <c r="K5700" s="4"/>
    </row>
    <row r="5701" spans="10:11" ht="15.75" customHeight="1">
      <c r="J5701" s="4"/>
      <c r="K5701" s="4"/>
    </row>
    <row r="5702" spans="10:11" ht="15.75" customHeight="1">
      <c r="J5702" s="4"/>
      <c r="K5702" s="4"/>
    </row>
    <row r="5703" spans="10:11" ht="15.75" customHeight="1">
      <c r="J5703" s="4"/>
      <c r="K5703" s="4"/>
    </row>
    <row r="5704" spans="10:11" ht="15.75" customHeight="1">
      <c r="J5704" s="4"/>
      <c r="K5704" s="4"/>
    </row>
    <row r="5705" spans="10:11" ht="15.75" customHeight="1">
      <c r="J5705" s="4"/>
      <c r="K5705" s="4"/>
    </row>
    <row r="5706" spans="10:11" ht="15.75" customHeight="1">
      <c r="J5706" s="4"/>
      <c r="K5706" s="4"/>
    </row>
    <row r="5707" spans="10:11" ht="15.75" customHeight="1">
      <c r="J5707" s="4"/>
      <c r="K5707" s="4"/>
    </row>
    <row r="5708" spans="10:11" ht="15.75" customHeight="1">
      <c r="J5708" s="4"/>
      <c r="K5708" s="4"/>
    </row>
    <row r="5709" spans="10:11" ht="15.75" customHeight="1">
      <c r="J5709" s="4"/>
      <c r="K5709" s="4"/>
    </row>
    <row r="5710" spans="10:11" ht="15.75" customHeight="1">
      <c r="J5710" s="4"/>
      <c r="K5710" s="4"/>
    </row>
    <row r="5711" spans="10:11" ht="15.75" customHeight="1">
      <c r="J5711" s="4"/>
      <c r="K5711" s="4"/>
    </row>
    <row r="5712" spans="10:11" ht="15.75" customHeight="1">
      <c r="J5712" s="4"/>
      <c r="K5712" s="4"/>
    </row>
    <row r="5713" spans="10:11" ht="15.75" customHeight="1">
      <c r="J5713" s="4"/>
      <c r="K5713" s="4"/>
    </row>
    <row r="5714" spans="10:11" ht="15.75" customHeight="1">
      <c r="J5714" s="4"/>
      <c r="K5714" s="4"/>
    </row>
    <row r="5715" spans="10:11" ht="15.75" customHeight="1">
      <c r="J5715" s="4"/>
      <c r="K5715" s="4"/>
    </row>
    <row r="5716" spans="10:11" ht="15.75" customHeight="1">
      <c r="J5716" s="4"/>
      <c r="K5716" s="4"/>
    </row>
    <row r="5717" spans="10:11" ht="15.75" customHeight="1">
      <c r="J5717" s="4"/>
      <c r="K5717" s="4"/>
    </row>
    <row r="5718" spans="10:11" ht="15.75" customHeight="1">
      <c r="J5718" s="4"/>
      <c r="K5718" s="4"/>
    </row>
    <row r="5719" spans="10:11" ht="15.75" customHeight="1">
      <c r="J5719" s="4"/>
      <c r="K5719" s="4"/>
    </row>
    <row r="5720" spans="10:11" ht="15.75" customHeight="1">
      <c r="J5720" s="4"/>
      <c r="K5720" s="4"/>
    </row>
    <row r="5721" spans="10:11" ht="15.75" customHeight="1">
      <c r="J5721" s="4"/>
      <c r="K5721" s="4"/>
    </row>
    <row r="5722" spans="10:11" ht="15.75" customHeight="1">
      <c r="J5722" s="4"/>
      <c r="K5722" s="4"/>
    </row>
    <row r="5723" spans="10:11" ht="15.75" customHeight="1">
      <c r="J5723" s="4"/>
      <c r="K5723" s="4"/>
    </row>
    <row r="5724" spans="10:11" ht="15.75" customHeight="1">
      <c r="J5724" s="4"/>
      <c r="K5724" s="4"/>
    </row>
    <row r="5725" spans="10:11" ht="15.75" customHeight="1">
      <c r="J5725" s="4"/>
      <c r="K5725" s="4"/>
    </row>
    <row r="5726" spans="10:11" ht="15.75" customHeight="1">
      <c r="J5726" s="4"/>
      <c r="K5726" s="4"/>
    </row>
    <row r="5727" spans="10:11" ht="15.75" customHeight="1">
      <c r="J5727" s="4"/>
      <c r="K5727" s="4"/>
    </row>
    <row r="5728" spans="10:11" ht="15.75" customHeight="1">
      <c r="J5728" s="4"/>
      <c r="K5728" s="4"/>
    </row>
    <row r="5729" spans="10:11" ht="15.75" customHeight="1">
      <c r="J5729" s="4"/>
      <c r="K5729" s="4"/>
    </row>
    <row r="5730" spans="10:11" ht="15.75" customHeight="1">
      <c r="J5730" s="4"/>
      <c r="K5730" s="4"/>
    </row>
    <row r="5731" spans="10:11" ht="15.75" customHeight="1">
      <c r="J5731" s="4"/>
      <c r="K5731" s="4"/>
    </row>
    <row r="5732" spans="10:11" ht="15.75" customHeight="1">
      <c r="J5732" s="4"/>
      <c r="K5732" s="4"/>
    </row>
    <row r="5733" spans="10:11" ht="15.75" customHeight="1">
      <c r="J5733" s="4"/>
      <c r="K5733" s="4"/>
    </row>
    <row r="5734" spans="10:11" ht="15.75" customHeight="1">
      <c r="J5734" s="4"/>
      <c r="K5734" s="4"/>
    </row>
    <row r="5735" spans="10:11" ht="15.75" customHeight="1">
      <c r="J5735" s="4"/>
      <c r="K5735" s="4"/>
    </row>
    <row r="5736" spans="10:11" ht="15.75" customHeight="1">
      <c r="J5736" s="4"/>
      <c r="K5736" s="4"/>
    </row>
    <row r="5737" spans="10:11" ht="15.75" customHeight="1">
      <c r="J5737" s="4"/>
      <c r="K5737" s="4"/>
    </row>
    <row r="5738" spans="10:11" ht="15.75" customHeight="1">
      <c r="J5738" s="4"/>
      <c r="K5738" s="4"/>
    </row>
    <row r="5739" spans="10:11" ht="15.75" customHeight="1">
      <c r="J5739" s="4"/>
      <c r="K5739" s="4"/>
    </row>
    <row r="5740" spans="10:11" ht="15.75" customHeight="1">
      <c r="J5740" s="4"/>
      <c r="K5740" s="4"/>
    </row>
    <row r="5741" spans="10:11" ht="15.75" customHeight="1">
      <c r="J5741" s="4"/>
      <c r="K5741" s="4"/>
    </row>
    <row r="5742" spans="10:11" ht="15.75" customHeight="1">
      <c r="J5742" s="4"/>
      <c r="K5742" s="4"/>
    </row>
    <row r="5743" spans="10:11" ht="15.75" customHeight="1">
      <c r="J5743" s="4"/>
      <c r="K5743" s="4"/>
    </row>
    <row r="5744" spans="10:11" ht="15.75" customHeight="1">
      <c r="J5744" s="4"/>
      <c r="K5744" s="4"/>
    </row>
    <row r="5745" spans="10:11" ht="15.75" customHeight="1">
      <c r="J5745" s="4"/>
      <c r="K5745" s="4"/>
    </row>
    <row r="5746" spans="10:11" ht="15.75" customHeight="1">
      <c r="J5746" s="4"/>
      <c r="K5746" s="4"/>
    </row>
    <row r="5747" spans="10:11" ht="15.75" customHeight="1">
      <c r="J5747" s="4"/>
      <c r="K5747" s="4"/>
    </row>
    <row r="5748" spans="10:11" ht="15.75" customHeight="1">
      <c r="J5748" s="4"/>
      <c r="K5748" s="4"/>
    </row>
    <row r="5749" spans="10:11" ht="15.75" customHeight="1">
      <c r="J5749" s="4"/>
      <c r="K5749" s="4"/>
    </row>
    <row r="5750" spans="10:11" ht="15.75" customHeight="1">
      <c r="J5750" s="4"/>
      <c r="K5750" s="4"/>
    </row>
    <row r="5751" spans="10:11" ht="15.75" customHeight="1">
      <c r="J5751" s="4"/>
      <c r="K5751" s="4"/>
    </row>
    <row r="5752" spans="10:11" ht="15.75" customHeight="1">
      <c r="J5752" s="4"/>
      <c r="K5752" s="4"/>
    </row>
    <row r="5753" spans="10:11" ht="15.75" customHeight="1">
      <c r="J5753" s="4"/>
      <c r="K5753" s="4"/>
    </row>
    <row r="5754" spans="10:11" ht="15.75" customHeight="1">
      <c r="J5754" s="4"/>
      <c r="K5754" s="4"/>
    </row>
    <row r="5755" spans="10:11" ht="15.75" customHeight="1">
      <c r="J5755" s="4"/>
      <c r="K5755" s="4"/>
    </row>
    <row r="5756" spans="10:11" ht="15.75" customHeight="1">
      <c r="J5756" s="4"/>
      <c r="K5756" s="4"/>
    </row>
    <row r="5757" spans="10:11" ht="15.75" customHeight="1">
      <c r="J5757" s="4"/>
      <c r="K5757" s="4"/>
    </row>
    <row r="5758" spans="10:11" ht="15.75" customHeight="1">
      <c r="J5758" s="4"/>
      <c r="K5758" s="4"/>
    </row>
    <row r="5759" spans="10:11" ht="15.75" customHeight="1">
      <c r="J5759" s="4"/>
      <c r="K5759" s="4"/>
    </row>
    <row r="5760" spans="10:11" ht="15.75" customHeight="1">
      <c r="J5760" s="4"/>
      <c r="K5760" s="4"/>
    </row>
    <row r="5761" spans="10:11" ht="15.75" customHeight="1">
      <c r="J5761" s="4"/>
      <c r="K5761" s="4"/>
    </row>
    <row r="5762" spans="10:11" ht="15.75" customHeight="1">
      <c r="J5762" s="4"/>
      <c r="K5762" s="4"/>
    </row>
    <row r="5763" spans="10:11" ht="15.75" customHeight="1">
      <c r="J5763" s="4"/>
      <c r="K5763" s="4"/>
    </row>
    <row r="5764" spans="10:11" ht="15.75" customHeight="1">
      <c r="J5764" s="4"/>
      <c r="K5764" s="4"/>
    </row>
    <row r="5765" spans="10:11" ht="15.75" customHeight="1">
      <c r="J5765" s="4"/>
      <c r="K5765" s="4"/>
    </row>
    <row r="5766" spans="10:11" ht="15.75" customHeight="1">
      <c r="J5766" s="4"/>
      <c r="K5766" s="4"/>
    </row>
    <row r="5767" spans="10:11" ht="15.75" customHeight="1">
      <c r="J5767" s="4"/>
      <c r="K5767" s="4"/>
    </row>
    <row r="5768" spans="10:11" ht="15.75" customHeight="1">
      <c r="J5768" s="4"/>
      <c r="K5768" s="4"/>
    </row>
    <row r="5769" spans="10:11" ht="15.75" customHeight="1">
      <c r="J5769" s="4"/>
      <c r="K5769" s="4"/>
    </row>
    <row r="5770" spans="10:11" ht="15.75" customHeight="1">
      <c r="J5770" s="4"/>
      <c r="K5770" s="4"/>
    </row>
    <row r="5771" spans="10:11" ht="15.75" customHeight="1">
      <c r="J5771" s="4"/>
      <c r="K5771" s="4"/>
    </row>
    <row r="5772" spans="10:11" ht="15.75" customHeight="1">
      <c r="J5772" s="4"/>
      <c r="K5772" s="4"/>
    </row>
    <row r="5773" spans="10:11" ht="15.75" customHeight="1">
      <c r="J5773" s="4"/>
      <c r="K5773" s="4"/>
    </row>
    <row r="5774" spans="10:11" ht="15.75" customHeight="1">
      <c r="J5774" s="4"/>
      <c r="K5774" s="4"/>
    </row>
    <row r="5775" spans="10:11" ht="15.75" customHeight="1">
      <c r="J5775" s="4"/>
      <c r="K5775" s="4"/>
    </row>
    <row r="5776" spans="10:11" ht="15.75" customHeight="1">
      <c r="J5776" s="4"/>
      <c r="K5776" s="4"/>
    </row>
    <row r="5777" spans="10:11" ht="15.75" customHeight="1">
      <c r="J5777" s="4"/>
      <c r="K5777" s="4"/>
    </row>
    <row r="5778" spans="10:11" ht="15.75" customHeight="1">
      <c r="J5778" s="4"/>
      <c r="K5778" s="4"/>
    </row>
    <row r="5779" spans="10:11" ht="15.75" customHeight="1">
      <c r="J5779" s="4"/>
      <c r="K5779" s="4"/>
    </row>
    <row r="5780" spans="10:11" ht="15.75" customHeight="1">
      <c r="J5780" s="4"/>
      <c r="K5780" s="4"/>
    </row>
    <row r="5781" spans="10:11" ht="15.75" customHeight="1">
      <c r="J5781" s="4"/>
      <c r="K5781" s="4"/>
    </row>
    <row r="5782" spans="10:11" ht="15.75" customHeight="1">
      <c r="J5782" s="4"/>
      <c r="K5782" s="4"/>
    </row>
    <row r="5783" spans="10:11" ht="15.75" customHeight="1">
      <c r="J5783" s="4"/>
      <c r="K5783" s="4"/>
    </row>
    <row r="5784" spans="10:11" ht="15.75" customHeight="1">
      <c r="J5784" s="4"/>
      <c r="K5784" s="4"/>
    </row>
    <row r="5785" spans="10:11" ht="15.75" customHeight="1">
      <c r="J5785" s="4"/>
      <c r="K5785" s="4"/>
    </row>
    <row r="5786" spans="10:11" ht="15.75" customHeight="1">
      <c r="J5786" s="4"/>
      <c r="K5786" s="4"/>
    </row>
    <row r="5787" spans="10:11" ht="15.75" customHeight="1">
      <c r="J5787" s="4"/>
      <c r="K5787" s="4"/>
    </row>
    <row r="5788" spans="10:11" ht="15.75" customHeight="1">
      <c r="J5788" s="4"/>
      <c r="K5788" s="4"/>
    </row>
    <row r="5789" spans="10:11" ht="15.75" customHeight="1">
      <c r="J5789" s="4"/>
      <c r="K5789" s="4"/>
    </row>
    <row r="5790" spans="10:11" ht="15.75" customHeight="1">
      <c r="J5790" s="4"/>
      <c r="K5790" s="4"/>
    </row>
    <row r="5791" spans="10:11" ht="15.75" customHeight="1">
      <c r="J5791" s="4"/>
      <c r="K5791" s="4"/>
    </row>
    <row r="5792" spans="10:11" ht="15.75" customHeight="1">
      <c r="J5792" s="4"/>
      <c r="K5792" s="4"/>
    </row>
    <row r="5793" spans="10:11" ht="15.75" customHeight="1">
      <c r="J5793" s="4"/>
      <c r="K5793" s="4"/>
    </row>
    <row r="5794" spans="10:11" ht="15.75" customHeight="1">
      <c r="J5794" s="4"/>
      <c r="K5794" s="4"/>
    </row>
    <row r="5795" spans="10:11" ht="15.75" customHeight="1">
      <c r="J5795" s="4"/>
      <c r="K5795" s="4"/>
    </row>
    <row r="5796" spans="10:11" ht="15.75" customHeight="1">
      <c r="J5796" s="4"/>
      <c r="K5796" s="4"/>
    </row>
    <row r="5797" spans="10:11" ht="15.75" customHeight="1">
      <c r="J5797" s="4"/>
      <c r="K5797" s="4"/>
    </row>
    <row r="5798" spans="10:11" ht="15.75" customHeight="1">
      <c r="J5798" s="4"/>
      <c r="K5798" s="4"/>
    </row>
    <row r="5799" spans="10:11" ht="15.75" customHeight="1">
      <c r="J5799" s="4"/>
      <c r="K5799" s="4"/>
    </row>
    <row r="5800" spans="10:11" ht="15.75" customHeight="1">
      <c r="J5800" s="4"/>
      <c r="K5800" s="4"/>
    </row>
    <row r="5801" spans="10:11" ht="15.75" customHeight="1">
      <c r="J5801" s="4"/>
      <c r="K5801" s="4"/>
    </row>
    <row r="5802" spans="10:11" ht="15.75" customHeight="1">
      <c r="J5802" s="4"/>
      <c r="K5802" s="4"/>
    </row>
    <row r="5803" spans="10:11" ht="15.75" customHeight="1">
      <c r="J5803" s="4"/>
      <c r="K5803" s="4"/>
    </row>
    <row r="5804" spans="10:11" ht="15.75" customHeight="1">
      <c r="J5804" s="4"/>
      <c r="K5804" s="4"/>
    </row>
    <row r="5805" spans="10:11" ht="15.75" customHeight="1">
      <c r="J5805" s="4"/>
      <c r="K5805" s="4"/>
    </row>
    <row r="5806" spans="10:11" ht="15.75" customHeight="1">
      <c r="J5806" s="4"/>
      <c r="K5806" s="4"/>
    </row>
    <row r="5807" spans="10:11" ht="15.75" customHeight="1">
      <c r="J5807" s="4"/>
      <c r="K5807" s="4"/>
    </row>
    <row r="5808" spans="10:11" ht="15.75" customHeight="1">
      <c r="J5808" s="4"/>
      <c r="K5808" s="4"/>
    </row>
    <row r="5809" spans="10:11" ht="15.75" customHeight="1">
      <c r="J5809" s="4"/>
      <c r="K5809" s="4"/>
    </row>
    <row r="5810" spans="10:11" ht="15.75" customHeight="1">
      <c r="J5810" s="4"/>
      <c r="K5810" s="4"/>
    </row>
    <row r="5811" spans="10:11" ht="15.75" customHeight="1">
      <c r="J5811" s="4"/>
      <c r="K5811" s="4"/>
    </row>
    <row r="5812" spans="10:11" ht="15.75" customHeight="1">
      <c r="J5812" s="4"/>
      <c r="K5812" s="4"/>
    </row>
    <row r="5813" spans="10:11" ht="15.75" customHeight="1">
      <c r="J5813" s="4"/>
      <c r="K5813" s="4"/>
    </row>
    <row r="5814" spans="10:11" ht="15.75" customHeight="1">
      <c r="J5814" s="4"/>
      <c r="K5814" s="4"/>
    </row>
    <row r="5815" spans="10:11" ht="15.75" customHeight="1">
      <c r="J5815" s="4"/>
      <c r="K5815" s="4"/>
    </row>
    <row r="5816" spans="10:11" ht="15.75" customHeight="1">
      <c r="J5816" s="4"/>
      <c r="K5816" s="4"/>
    </row>
    <row r="5817" spans="10:11" ht="15.75" customHeight="1">
      <c r="J5817" s="4"/>
      <c r="K5817" s="4"/>
    </row>
    <row r="5818" spans="10:11" ht="15.75" customHeight="1">
      <c r="J5818" s="4"/>
      <c r="K5818" s="4"/>
    </row>
    <row r="5819" spans="10:11" ht="15.75" customHeight="1">
      <c r="J5819" s="4"/>
      <c r="K5819" s="4"/>
    </row>
    <row r="5820" spans="10:11" ht="15.75" customHeight="1">
      <c r="J5820" s="4"/>
      <c r="K5820" s="4"/>
    </row>
    <row r="5821" spans="10:11" ht="15.75" customHeight="1">
      <c r="J5821" s="4"/>
      <c r="K5821" s="4"/>
    </row>
    <row r="5822" spans="10:11" ht="15.75" customHeight="1">
      <c r="J5822" s="4"/>
      <c r="K5822" s="4"/>
    </row>
    <row r="5823" spans="10:11" ht="15.75" customHeight="1">
      <c r="J5823" s="4"/>
      <c r="K5823" s="4"/>
    </row>
    <row r="5824" spans="10:11" ht="15.75" customHeight="1">
      <c r="J5824" s="4"/>
      <c r="K5824" s="4"/>
    </row>
    <row r="5825" spans="10:11" ht="15.75" customHeight="1">
      <c r="J5825" s="4"/>
      <c r="K5825" s="4"/>
    </row>
    <row r="5826" spans="10:11" ht="15.75" customHeight="1">
      <c r="J5826" s="4"/>
      <c r="K5826" s="4"/>
    </row>
    <row r="5827" spans="10:11" ht="15.75" customHeight="1">
      <c r="J5827" s="4"/>
      <c r="K5827" s="4"/>
    </row>
    <row r="5828" spans="10:11" ht="15.75" customHeight="1">
      <c r="J5828" s="4"/>
      <c r="K5828" s="4"/>
    </row>
    <row r="5829" spans="10:11" ht="15.75" customHeight="1">
      <c r="J5829" s="4"/>
      <c r="K5829" s="4"/>
    </row>
    <row r="5830" spans="10:11" ht="15.75" customHeight="1">
      <c r="J5830" s="4"/>
      <c r="K5830" s="4"/>
    </row>
    <row r="5831" spans="10:11" ht="15.75" customHeight="1">
      <c r="J5831" s="4"/>
      <c r="K5831" s="4"/>
    </row>
    <row r="5832" spans="10:11" ht="15.75" customHeight="1">
      <c r="J5832" s="4"/>
      <c r="K5832" s="4"/>
    </row>
    <row r="5833" spans="10:11" ht="15.75" customHeight="1">
      <c r="J5833" s="4"/>
      <c r="K5833" s="4"/>
    </row>
    <row r="5834" spans="10:11" ht="15.75" customHeight="1">
      <c r="J5834" s="4"/>
      <c r="K5834" s="4"/>
    </row>
    <row r="5835" spans="10:11" ht="15.75" customHeight="1">
      <c r="J5835" s="4"/>
      <c r="K5835" s="4"/>
    </row>
    <row r="5836" spans="10:11" ht="15.75" customHeight="1">
      <c r="J5836" s="4"/>
      <c r="K5836" s="4"/>
    </row>
    <row r="5837" spans="10:11" ht="15.75" customHeight="1">
      <c r="J5837" s="4"/>
      <c r="K5837" s="4"/>
    </row>
    <row r="5838" spans="10:11" ht="15.75" customHeight="1">
      <c r="J5838" s="4"/>
      <c r="K5838" s="4"/>
    </row>
    <row r="5839" spans="10:11" ht="15.75" customHeight="1">
      <c r="J5839" s="4"/>
      <c r="K5839" s="4"/>
    </row>
    <row r="5840" spans="10:11" ht="15.75" customHeight="1">
      <c r="J5840" s="4"/>
      <c r="K5840" s="4"/>
    </row>
    <row r="5841" spans="10:11" ht="15.75" customHeight="1">
      <c r="J5841" s="4"/>
      <c r="K5841" s="4"/>
    </row>
    <row r="5842" spans="10:11" ht="15.75" customHeight="1">
      <c r="J5842" s="4"/>
      <c r="K5842" s="4"/>
    </row>
    <row r="5843" spans="10:11" ht="15.75" customHeight="1">
      <c r="J5843" s="4"/>
      <c r="K5843" s="4"/>
    </row>
    <row r="5844" spans="10:11" ht="15.75" customHeight="1">
      <c r="J5844" s="4"/>
      <c r="K5844" s="4"/>
    </row>
    <row r="5845" spans="10:11" ht="15.75" customHeight="1">
      <c r="J5845" s="4"/>
      <c r="K5845" s="4"/>
    </row>
    <row r="5846" spans="10:11" ht="15.75" customHeight="1">
      <c r="J5846" s="4"/>
      <c r="K5846" s="4"/>
    </row>
    <row r="5847" spans="10:11" ht="15.75" customHeight="1">
      <c r="J5847" s="4"/>
      <c r="K5847" s="4"/>
    </row>
    <row r="5848" spans="10:11" ht="15.75" customHeight="1">
      <c r="J5848" s="4"/>
      <c r="K5848" s="4"/>
    </row>
    <row r="5849" spans="10:11" ht="15.75" customHeight="1">
      <c r="J5849" s="4"/>
      <c r="K5849" s="4"/>
    </row>
    <row r="5850" spans="10:11" ht="15.75" customHeight="1">
      <c r="J5850" s="4"/>
      <c r="K5850" s="4"/>
    </row>
    <row r="5851" spans="10:11" ht="15.75" customHeight="1">
      <c r="J5851" s="4"/>
      <c r="K5851" s="4"/>
    </row>
    <row r="5852" spans="10:11" ht="15.75" customHeight="1">
      <c r="J5852" s="4"/>
      <c r="K5852" s="4"/>
    </row>
    <row r="5853" spans="10:11" ht="15.75" customHeight="1">
      <c r="J5853" s="4"/>
      <c r="K5853" s="4"/>
    </row>
    <row r="5854" spans="10:11" ht="15.75" customHeight="1">
      <c r="J5854" s="4"/>
      <c r="K5854" s="4"/>
    </row>
    <row r="5855" spans="10:11" ht="15.75" customHeight="1">
      <c r="J5855" s="4"/>
      <c r="K5855" s="4"/>
    </row>
    <row r="5856" spans="10:11" ht="15.75" customHeight="1">
      <c r="J5856" s="4"/>
      <c r="K5856" s="4"/>
    </row>
    <row r="5857" spans="10:11" ht="15.75" customHeight="1">
      <c r="J5857" s="4"/>
      <c r="K5857" s="4"/>
    </row>
    <row r="5858" spans="10:11" ht="15.75" customHeight="1">
      <c r="J5858" s="4"/>
      <c r="K5858" s="4"/>
    </row>
    <row r="5859" spans="10:11" ht="15.75" customHeight="1">
      <c r="J5859" s="4"/>
      <c r="K5859" s="4"/>
    </row>
    <row r="5860" spans="10:11" ht="15.75" customHeight="1">
      <c r="J5860" s="4"/>
      <c r="K5860" s="4"/>
    </row>
    <row r="5861" spans="10:11" ht="15.75" customHeight="1">
      <c r="J5861" s="4"/>
      <c r="K5861" s="4"/>
    </row>
    <row r="5862" spans="10:11" ht="15.75" customHeight="1">
      <c r="J5862" s="4"/>
      <c r="K5862" s="4"/>
    </row>
    <row r="5863" spans="10:11" ht="15.75" customHeight="1">
      <c r="J5863" s="4"/>
      <c r="K5863" s="4"/>
    </row>
    <row r="5864" spans="10:11" ht="15.75" customHeight="1">
      <c r="J5864" s="4"/>
      <c r="K5864" s="4"/>
    </row>
    <row r="5865" spans="10:11" ht="15.75" customHeight="1">
      <c r="J5865" s="4"/>
      <c r="K5865" s="4"/>
    </row>
    <row r="5866" spans="10:11" ht="15.75" customHeight="1">
      <c r="J5866" s="4"/>
      <c r="K5866" s="4"/>
    </row>
    <row r="5867" spans="10:11" ht="15.75" customHeight="1">
      <c r="J5867" s="4"/>
      <c r="K5867" s="4"/>
    </row>
    <row r="5868" spans="10:11" ht="15.75" customHeight="1">
      <c r="J5868" s="4"/>
      <c r="K5868" s="4"/>
    </row>
    <row r="5869" spans="10:11" ht="15.75" customHeight="1">
      <c r="J5869" s="4"/>
      <c r="K5869" s="4"/>
    </row>
    <row r="5870" spans="10:11" ht="15.75" customHeight="1">
      <c r="J5870" s="4"/>
      <c r="K5870" s="4"/>
    </row>
    <row r="5871" spans="10:11" ht="15.75" customHeight="1">
      <c r="J5871" s="4"/>
      <c r="K5871" s="4"/>
    </row>
    <row r="5872" spans="10:11" ht="15.75" customHeight="1">
      <c r="J5872" s="4"/>
      <c r="K5872" s="4"/>
    </row>
    <row r="5873" spans="10:11" ht="15.75" customHeight="1">
      <c r="J5873" s="4"/>
      <c r="K5873" s="4"/>
    </row>
    <row r="5874" spans="10:11" ht="15.75" customHeight="1">
      <c r="J5874" s="4"/>
      <c r="K5874" s="4"/>
    </row>
    <row r="5875" spans="10:11" ht="15.75" customHeight="1">
      <c r="J5875" s="4"/>
      <c r="K5875" s="4"/>
    </row>
    <row r="5876" spans="10:11" ht="15.75" customHeight="1">
      <c r="J5876" s="4"/>
      <c r="K5876" s="4"/>
    </row>
    <row r="5877" spans="10:11" ht="15.75" customHeight="1">
      <c r="J5877" s="4"/>
      <c r="K5877" s="4"/>
    </row>
    <row r="5878" spans="10:11" ht="15.75" customHeight="1">
      <c r="J5878" s="4"/>
      <c r="K5878" s="4"/>
    </row>
    <row r="5879" spans="10:11" ht="15.75" customHeight="1">
      <c r="J5879" s="4"/>
      <c r="K5879" s="4"/>
    </row>
    <row r="5880" spans="10:11" ht="15.75" customHeight="1">
      <c r="J5880" s="4"/>
      <c r="K5880" s="4"/>
    </row>
    <row r="5881" spans="10:11" ht="15.75" customHeight="1">
      <c r="J5881" s="4"/>
      <c r="K5881" s="4"/>
    </row>
    <row r="5882" spans="10:11" ht="15.75" customHeight="1">
      <c r="J5882" s="4"/>
      <c r="K5882" s="4"/>
    </row>
    <row r="5883" spans="10:11" ht="15.75" customHeight="1">
      <c r="J5883" s="4"/>
      <c r="K5883" s="4"/>
    </row>
    <row r="5884" spans="10:11" ht="15.75" customHeight="1">
      <c r="J5884" s="4"/>
      <c r="K5884" s="4"/>
    </row>
    <row r="5885" spans="10:11" ht="15.75" customHeight="1">
      <c r="J5885" s="4"/>
      <c r="K5885" s="4"/>
    </row>
    <row r="5886" spans="10:11" ht="15.75" customHeight="1">
      <c r="J5886" s="4"/>
      <c r="K5886" s="4"/>
    </row>
    <row r="5887" spans="10:11" ht="15.75" customHeight="1">
      <c r="J5887" s="4"/>
      <c r="K5887" s="4"/>
    </row>
    <row r="5888" spans="10:11" ht="15.75" customHeight="1">
      <c r="J5888" s="4"/>
      <c r="K5888" s="4"/>
    </row>
    <row r="5889" spans="10:11" ht="15.75" customHeight="1">
      <c r="J5889" s="4"/>
      <c r="K5889" s="4"/>
    </row>
    <row r="5890" spans="10:11" ht="15.75" customHeight="1">
      <c r="J5890" s="4"/>
      <c r="K5890" s="4"/>
    </row>
    <row r="5891" spans="10:11" ht="15.75" customHeight="1">
      <c r="J5891" s="4"/>
      <c r="K5891" s="4"/>
    </row>
    <row r="5892" spans="10:11" ht="15.75" customHeight="1">
      <c r="J5892" s="4"/>
      <c r="K5892" s="4"/>
    </row>
    <row r="5893" spans="10:11" ht="15.75" customHeight="1">
      <c r="J5893" s="4"/>
      <c r="K5893" s="4"/>
    </row>
    <row r="5894" spans="10:11" ht="15.75" customHeight="1">
      <c r="J5894" s="4"/>
      <c r="K5894" s="4"/>
    </row>
    <row r="5895" spans="10:11" ht="15.75" customHeight="1">
      <c r="J5895" s="4"/>
      <c r="K5895" s="4"/>
    </row>
    <row r="5896" spans="10:11" ht="15.75" customHeight="1">
      <c r="J5896" s="4"/>
      <c r="K5896" s="4"/>
    </row>
    <row r="5897" spans="10:11" ht="15.75" customHeight="1">
      <c r="J5897" s="4"/>
      <c r="K5897" s="4"/>
    </row>
    <row r="5898" spans="10:11" ht="15.75" customHeight="1">
      <c r="J5898" s="4"/>
      <c r="K5898" s="4"/>
    </row>
    <row r="5899" spans="10:11" ht="15.75" customHeight="1">
      <c r="J5899" s="4"/>
      <c r="K5899" s="4"/>
    </row>
    <row r="5900" spans="10:11" ht="15.75" customHeight="1">
      <c r="J5900" s="4"/>
      <c r="K5900" s="4"/>
    </row>
    <row r="5901" spans="10:11" ht="15.75" customHeight="1">
      <c r="J5901" s="4"/>
      <c r="K5901" s="4"/>
    </row>
    <row r="5902" spans="10:11" ht="15.75" customHeight="1">
      <c r="J5902" s="4"/>
      <c r="K5902" s="4"/>
    </row>
    <row r="5903" spans="10:11" ht="15.75" customHeight="1">
      <c r="J5903" s="4"/>
      <c r="K5903" s="4"/>
    </row>
    <row r="5904" spans="10:11" ht="15.75" customHeight="1">
      <c r="J5904" s="4"/>
      <c r="K5904" s="4"/>
    </row>
    <row r="5905" spans="10:11" ht="15.75" customHeight="1">
      <c r="J5905" s="4"/>
      <c r="K5905" s="4"/>
    </row>
    <row r="5906" spans="10:11" ht="15.75" customHeight="1">
      <c r="J5906" s="4"/>
      <c r="K5906" s="4"/>
    </row>
    <row r="5907" spans="10:11" ht="15.75" customHeight="1">
      <c r="J5907" s="4"/>
      <c r="K5907" s="4"/>
    </row>
    <row r="5908" spans="10:11" ht="15.75" customHeight="1">
      <c r="J5908" s="4"/>
      <c r="K5908" s="4"/>
    </row>
    <row r="5909" spans="10:11" ht="15.75" customHeight="1">
      <c r="J5909" s="4"/>
      <c r="K5909" s="4"/>
    </row>
    <row r="5910" spans="10:11" ht="15.75" customHeight="1">
      <c r="J5910" s="4"/>
      <c r="K5910" s="4"/>
    </row>
    <row r="5911" spans="10:11" ht="15.75" customHeight="1">
      <c r="J5911" s="4"/>
      <c r="K5911" s="4"/>
    </row>
    <row r="5912" spans="10:11" ht="15.75" customHeight="1">
      <c r="J5912" s="4"/>
      <c r="K5912" s="4"/>
    </row>
    <row r="5913" spans="10:11" ht="15.75" customHeight="1">
      <c r="J5913" s="4"/>
      <c r="K5913" s="4"/>
    </row>
    <row r="5914" spans="10:11" ht="15.75" customHeight="1">
      <c r="J5914" s="4"/>
      <c r="K5914" s="4"/>
    </row>
    <row r="5915" spans="10:11" ht="15.75" customHeight="1">
      <c r="J5915" s="4"/>
      <c r="K5915" s="4"/>
    </row>
    <row r="5916" spans="10:11" ht="15.75" customHeight="1">
      <c r="J5916" s="4"/>
      <c r="K5916" s="4"/>
    </row>
    <row r="5917" spans="10:11" ht="15.75" customHeight="1">
      <c r="J5917" s="4"/>
      <c r="K5917" s="4"/>
    </row>
    <row r="5918" spans="10:11" ht="15.75" customHeight="1">
      <c r="J5918" s="4"/>
      <c r="K5918" s="4"/>
    </row>
    <row r="5919" spans="10:11" ht="15.75" customHeight="1">
      <c r="J5919" s="4"/>
      <c r="K5919" s="4"/>
    </row>
    <row r="5920" spans="10:11" ht="15.75" customHeight="1">
      <c r="J5920" s="4"/>
      <c r="K5920" s="4"/>
    </row>
    <row r="5921" spans="10:11" ht="15.75" customHeight="1">
      <c r="J5921" s="4"/>
      <c r="K5921" s="4"/>
    </row>
    <row r="5922" spans="10:11" ht="15.75" customHeight="1">
      <c r="J5922" s="4"/>
      <c r="K5922" s="4"/>
    </row>
    <row r="5923" spans="10:11" ht="15.75" customHeight="1">
      <c r="J5923" s="4"/>
      <c r="K5923" s="4"/>
    </row>
    <row r="5924" spans="10:11" ht="15.75" customHeight="1">
      <c r="J5924" s="4"/>
      <c r="K5924" s="4"/>
    </row>
    <row r="5925" spans="10:11" ht="15.75" customHeight="1">
      <c r="J5925" s="4"/>
      <c r="K5925" s="4"/>
    </row>
    <row r="5926" spans="10:11" ht="15.75" customHeight="1">
      <c r="J5926" s="4"/>
      <c r="K5926" s="4"/>
    </row>
    <row r="5927" spans="10:11" ht="15.75" customHeight="1">
      <c r="J5927" s="4"/>
      <c r="K5927" s="4"/>
    </row>
    <row r="5928" spans="10:11" ht="15.75" customHeight="1">
      <c r="J5928" s="4"/>
      <c r="K5928" s="4"/>
    </row>
    <row r="5929" spans="10:11" ht="15.75" customHeight="1">
      <c r="J5929" s="4"/>
      <c r="K5929" s="4"/>
    </row>
    <row r="5930" spans="10:11" ht="15.75" customHeight="1">
      <c r="J5930" s="4"/>
      <c r="K5930" s="4"/>
    </row>
    <row r="5931" spans="10:11" ht="15.75" customHeight="1">
      <c r="J5931" s="4"/>
      <c r="K5931" s="4"/>
    </row>
    <row r="5932" spans="10:11" ht="15.75" customHeight="1">
      <c r="J5932" s="4"/>
      <c r="K5932" s="4"/>
    </row>
    <row r="5933" spans="10:11" ht="15.75" customHeight="1">
      <c r="J5933" s="4"/>
      <c r="K5933" s="4"/>
    </row>
    <row r="5934" spans="10:11" ht="15.75" customHeight="1">
      <c r="J5934" s="4"/>
      <c r="K5934" s="4"/>
    </row>
    <row r="5935" spans="10:11" ht="15.75" customHeight="1">
      <c r="J5935" s="4"/>
      <c r="K5935" s="4"/>
    </row>
    <row r="5936" spans="10:11" ht="15.75" customHeight="1">
      <c r="J5936" s="4"/>
      <c r="K5936" s="4"/>
    </row>
    <row r="5937" spans="10:11" ht="15.75" customHeight="1">
      <c r="J5937" s="4"/>
      <c r="K5937" s="4"/>
    </row>
    <row r="5938" spans="10:11" ht="15.75" customHeight="1">
      <c r="J5938" s="4"/>
      <c r="K5938" s="4"/>
    </row>
    <row r="5939" spans="10:11" ht="15.75" customHeight="1">
      <c r="J5939" s="4"/>
      <c r="K5939" s="4"/>
    </row>
    <row r="5940" spans="10:11" ht="15.75" customHeight="1">
      <c r="J5940" s="4"/>
      <c r="K5940" s="4"/>
    </row>
    <row r="5941" spans="10:11" ht="15.75" customHeight="1">
      <c r="J5941" s="4"/>
      <c r="K5941" s="4"/>
    </row>
    <row r="5942" spans="10:11" ht="15.75" customHeight="1">
      <c r="J5942" s="4"/>
      <c r="K5942" s="4"/>
    </row>
    <row r="5943" spans="10:11" ht="15.75" customHeight="1">
      <c r="J5943" s="4"/>
      <c r="K5943" s="4"/>
    </row>
    <row r="5944" spans="10:11" ht="15.75" customHeight="1">
      <c r="J5944" s="4"/>
      <c r="K5944" s="4"/>
    </row>
    <row r="5945" spans="10:11" ht="15.75" customHeight="1">
      <c r="J5945" s="4"/>
      <c r="K5945" s="4"/>
    </row>
    <row r="5946" spans="10:11" ht="15.75" customHeight="1">
      <c r="J5946" s="4"/>
      <c r="K5946" s="4"/>
    </row>
    <row r="5947" spans="10:11" ht="15.75" customHeight="1">
      <c r="J5947" s="4"/>
      <c r="K5947" s="4"/>
    </row>
    <row r="5948" spans="10:11" ht="15.75" customHeight="1">
      <c r="J5948" s="4"/>
      <c r="K5948" s="4"/>
    </row>
    <row r="5949" spans="10:11" ht="15.75" customHeight="1">
      <c r="J5949" s="4"/>
      <c r="K5949" s="4"/>
    </row>
    <row r="5950" spans="10:11" ht="15.75" customHeight="1">
      <c r="J5950" s="4"/>
      <c r="K5950" s="4"/>
    </row>
    <row r="5951" spans="10:11" ht="15.75" customHeight="1">
      <c r="J5951" s="4"/>
      <c r="K5951" s="4"/>
    </row>
    <row r="5952" spans="10:11" ht="15.75" customHeight="1">
      <c r="J5952" s="4"/>
      <c r="K5952" s="4"/>
    </row>
    <row r="5953" spans="10:11" ht="15.75" customHeight="1">
      <c r="J5953" s="4"/>
      <c r="K5953" s="4"/>
    </row>
    <row r="5954" spans="10:11" ht="15.75" customHeight="1">
      <c r="J5954" s="4"/>
      <c r="K5954" s="4"/>
    </row>
    <row r="5955" spans="10:11" ht="15.75" customHeight="1">
      <c r="J5955" s="4"/>
      <c r="K5955" s="4"/>
    </row>
    <row r="5956" spans="10:11" ht="15.75" customHeight="1">
      <c r="J5956" s="4"/>
      <c r="K5956" s="4"/>
    </row>
    <row r="5957" spans="10:11" ht="15.75" customHeight="1">
      <c r="J5957" s="4"/>
      <c r="K5957" s="4"/>
    </row>
    <row r="5958" spans="10:11" ht="15.75" customHeight="1">
      <c r="J5958" s="4"/>
      <c r="K5958" s="4"/>
    </row>
    <row r="5959" spans="10:11" ht="15.75" customHeight="1">
      <c r="J5959" s="4"/>
      <c r="K5959" s="4"/>
    </row>
    <row r="5960" spans="10:11" ht="15.75" customHeight="1">
      <c r="J5960" s="4"/>
      <c r="K5960" s="4"/>
    </row>
    <row r="5961" spans="10:11" ht="15.75" customHeight="1">
      <c r="J5961" s="4"/>
      <c r="K5961" s="4"/>
    </row>
    <row r="5962" spans="10:11" ht="15.75" customHeight="1">
      <c r="J5962" s="4"/>
      <c r="K5962" s="4"/>
    </row>
    <row r="5963" spans="10:11" ht="15.75" customHeight="1">
      <c r="J5963" s="4"/>
      <c r="K5963" s="4"/>
    </row>
    <row r="5964" spans="10:11" ht="15.75" customHeight="1">
      <c r="J5964" s="4"/>
      <c r="K5964" s="4"/>
    </row>
    <row r="5965" spans="10:11" ht="15.75" customHeight="1">
      <c r="J5965" s="4"/>
      <c r="K5965" s="4"/>
    </row>
    <row r="5966" spans="10:11" ht="15.75" customHeight="1">
      <c r="J5966" s="4"/>
      <c r="K5966" s="4"/>
    </row>
    <row r="5967" spans="10:11" ht="15.75" customHeight="1">
      <c r="J5967" s="4"/>
      <c r="K5967" s="4"/>
    </row>
    <row r="5968" spans="10:11" ht="15.75" customHeight="1">
      <c r="J5968" s="4"/>
      <c r="K5968" s="4"/>
    </row>
    <row r="5969" spans="10:11" ht="15.75" customHeight="1">
      <c r="J5969" s="4"/>
      <c r="K5969" s="4"/>
    </row>
    <row r="5970" spans="10:11" ht="15.75" customHeight="1">
      <c r="J5970" s="4"/>
      <c r="K5970" s="4"/>
    </row>
    <row r="5971" spans="10:11" ht="15.75" customHeight="1">
      <c r="J5971" s="4"/>
      <c r="K5971" s="4"/>
    </row>
    <row r="5972" spans="10:11" ht="15.75" customHeight="1">
      <c r="J5972" s="4"/>
      <c r="K5972" s="4"/>
    </row>
    <row r="5973" spans="10:11" ht="15.75" customHeight="1">
      <c r="J5973" s="4"/>
      <c r="K5973" s="4"/>
    </row>
    <row r="5974" spans="10:11" ht="15.75" customHeight="1">
      <c r="J5974" s="4"/>
      <c r="K5974" s="4"/>
    </row>
    <row r="5975" spans="10:11" ht="15.75" customHeight="1">
      <c r="J5975" s="4"/>
      <c r="K5975" s="4"/>
    </row>
    <row r="5976" spans="10:11" ht="15.75" customHeight="1">
      <c r="J5976" s="4"/>
      <c r="K5976" s="4"/>
    </row>
    <row r="5977" spans="10:11" ht="15.75" customHeight="1">
      <c r="J5977" s="4"/>
      <c r="K5977" s="4"/>
    </row>
    <row r="5978" spans="10:11" ht="15.75" customHeight="1">
      <c r="J5978" s="4"/>
      <c r="K5978" s="4"/>
    </row>
    <row r="5979" spans="10:11" ht="15.75" customHeight="1">
      <c r="J5979" s="4"/>
      <c r="K5979" s="4"/>
    </row>
    <row r="5980" spans="10:11" ht="15.75" customHeight="1">
      <c r="J5980" s="4"/>
      <c r="K5980" s="4"/>
    </row>
    <row r="5981" spans="10:11" ht="15.75" customHeight="1">
      <c r="J5981" s="4"/>
      <c r="K5981" s="4"/>
    </row>
    <row r="5982" spans="10:11" ht="15.75" customHeight="1">
      <c r="J5982" s="4"/>
      <c r="K5982" s="4"/>
    </row>
    <row r="5983" spans="10:11" ht="15.75" customHeight="1">
      <c r="J5983" s="4"/>
      <c r="K5983" s="4"/>
    </row>
    <row r="5984" spans="10:11" ht="15.75" customHeight="1">
      <c r="J5984" s="4"/>
      <c r="K5984" s="4"/>
    </row>
    <row r="5985" spans="10:11" ht="15.75" customHeight="1">
      <c r="J5985" s="4"/>
      <c r="K5985" s="4"/>
    </row>
    <row r="5986" spans="10:11" ht="15.75" customHeight="1">
      <c r="J5986" s="4"/>
      <c r="K5986" s="4"/>
    </row>
    <row r="5987" spans="10:11" ht="15.75" customHeight="1">
      <c r="J5987" s="4"/>
      <c r="K5987" s="4"/>
    </row>
    <row r="5988" spans="10:11" ht="15.75" customHeight="1">
      <c r="J5988" s="4"/>
      <c r="K5988" s="4"/>
    </row>
    <row r="5989" spans="10:11" ht="15.75" customHeight="1">
      <c r="J5989" s="4"/>
      <c r="K5989" s="4"/>
    </row>
    <row r="5990" spans="10:11" ht="15.75" customHeight="1">
      <c r="J5990" s="4"/>
      <c r="K5990" s="4"/>
    </row>
    <row r="5991" spans="10:11" ht="15.75" customHeight="1">
      <c r="J5991" s="4"/>
      <c r="K5991" s="4"/>
    </row>
    <row r="5992" spans="10:11" ht="15.75" customHeight="1">
      <c r="J5992" s="4"/>
      <c r="K5992" s="4"/>
    </row>
    <row r="5993" spans="10:11" ht="15.75" customHeight="1">
      <c r="J5993" s="4"/>
      <c r="K5993" s="4"/>
    </row>
    <row r="5994" spans="10:11" ht="15.75" customHeight="1">
      <c r="J5994" s="4"/>
      <c r="K5994" s="4"/>
    </row>
    <row r="5995" spans="10:11" ht="15.75" customHeight="1">
      <c r="J5995" s="4"/>
      <c r="K5995" s="4"/>
    </row>
    <row r="5996" spans="10:11" ht="15.75" customHeight="1">
      <c r="J5996" s="4"/>
      <c r="K5996" s="4"/>
    </row>
    <row r="5997" spans="10:11" ht="15.75" customHeight="1">
      <c r="J5997" s="4"/>
      <c r="K5997" s="4"/>
    </row>
    <row r="5998" spans="10:11" ht="15.75" customHeight="1">
      <c r="J5998" s="4"/>
      <c r="K5998" s="4"/>
    </row>
    <row r="5999" spans="10:11" ht="15.75" customHeight="1">
      <c r="J5999" s="4"/>
      <c r="K5999" s="4"/>
    </row>
    <row r="6000" spans="10:11" ht="15.75" customHeight="1">
      <c r="J6000" s="4"/>
      <c r="K6000" s="4"/>
    </row>
    <row r="6001" spans="10:11" ht="15.75" customHeight="1">
      <c r="J6001" s="4"/>
      <c r="K6001" s="4"/>
    </row>
    <row r="6002" spans="10:11" ht="15.75" customHeight="1">
      <c r="J6002" s="4"/>
      <c r="K6002" s="4"/>
    </row>
    <row r="6003" spans="10:11" ht="15.75" customHeight="1">
      <c r="J6003" s="4"/>
      <c r="K6003" s="4"/>
    </row>
    <row r="6004" spans="10:11" ht="15.75" customHeight="1">
      <c r="J6004" s="4"/>
      <c r="K6004" s="4"/>
    </row>
    <row r="6005" spans="10:11" ht="15.75" customHeight="1">
      <c r="J6005" s="4"/>
      <c r="K6005" s="4"/>
    </row>
    <row r="6006" spans="10:11" ht="15.75" customHeight="1">
      <c r="J6006" s="4"/>
      <c r="K6006" s="4"/>
    </row>
    <row r="6007" spans="10:11" ht="15.75" customHeight="1">
      <c r="J6007" s="4"/>
      <c r="K6007" s="4"/>
    </row>
    <row r="6008" spans="10:11" ht="15.75" customHeight="1">
      <c r="J6008" s="4"/>
      <c r="K6008" s="4"/>
    </row>
    <row r="6009" spans="10:11" ht="15.75" customHeight="1">
      <c r="J6009" s="4"/>
      <c r="K6009" s="4"/>
    </row>
    <row r="6010" spans="10:11" ht="15.75" customHeight="1">
      <c r="J6010" s="4"/>
      <c r="K6010" s="4"/>
    </row>
    <row r="6011" spans="10:11" ht="15.75" customHeight="1">
      <c r="J6011" s="4"/>
      <c r="K6011" s="4"/>
    </row>
    <row r="6012" spans="10:11" ht="15.75" customHeight="1">
      <c r="J6012" s="4"/>
      <c r="K6012" s="4"/>
    </row>
    <row r="6013" spans="10:11" ht="15.75" customHeight="1">
      <c r="J6013" s="4"/>
      <c r="K6013" s="4"/>
    </row>
    <row r="6014" spans="10:11" ht="15.75" customHeight="1">
      <c r="J6014" s="4"/>
      <c r="K6014" s="4"/>
    </row>
    <row r="6015" spans="10:11" ht="15.75" customHeight="1">
      <c r="J6015" s="4"/>
      <c r="K6015" s="4"/>
    </row>
    <row r="6016" spans="10:11" ht="15.75" customHeight="1">
      <c r="J6016" s="4"/>
      <c r="K6016" s="4"/>
    </row>
    <row r="6017" spans="10:11" ht="15.75" customHeight="1">
      <c r="J6017" s="4"/>
      <c r="K6017" s="4"/>
    </row>
    <row r="6018" spans="10:11" ht="15.75" customHeight="1">
      <c r="J6018" s="4"/>
      <c r="K6018" s="4"/>
    </row>
    <row r="6019" spans="10:11" ht="15.75" customHeight="1">
      <c r="J6019" s="4"/>
      <c r="K6019" s="4"/>
    </row>
    <row r="6020" spans="10:11" ht="15.75" customHeight="1">
      <c r="J6020" s="4"/>
      <c r="K6020" s="4"/>
    </row>
    <row r="6021" spans="10:11" ht="15.75" customHeight="1">
      <c r="J6021" s="4"/>
      <c r="K6021" s="4"/>
    </row>
    <row r="6022" spans="10:11" ht="15.75" customHeight="1">
      <c r="J6022" s="4"/>
      <c r="K6022" s="4"/>
    </row>
    <row r="6023" spans="10:11" ht="15.75" customHeight="1">
      <c r="J6023" s="4"/>
      <c r="K6023" s="4"/>
    </row>
    <row r="6024" spans="10:11" ht="15.75" customHeight="1">
      <c r="J6024" s="4"/>
      <c r="K6024" s="4"/>
    </row>
    <row r="6025" spans="10:11" ht="15.75" customHeight="1">
      <c r="J6025" s="4"/>
      <c r="K6025" s="4"/>
    </row>
    <row r="6026" spans="10:11" ht="15.75" customHeight="1">
      <c r="J6026" s="4"/>
      <c r="K6026" s="4"/>
    </row>
    <row r="6027" spans="10:11" ht="15.75" customHeight="1">
      <c r="J6027" s="4"/>
      <c r="K6027" s="4"/>
    </row>
    <row r="6028" spans="10:11" ht="15.75" customHeight="1">
      <c r="J6028" s="4"/>
      <c r="K6028" s="4"/>
    </row>
    <row r="6029" spans="10:11" ht="15.75" customHeight="1">
      <c r="J6029" s="4"/>
      <c r="K6029" s="4"/>
    </row>
    <row r="6030" spans="10:11" ht="15.75" customHeight="1">
      <c r="J6030" s="4"/>
      <c r="K6030" s="4"/>
    </row>
    <row r="6031" spans="10:11" ht="15.75" customHeight="1">
      <c r="J6031" s="4"/>
      <c r="K6031" s="4"/>
    </row>
    <row r="6032" spans="10:11" ht="15.75" customHeight="1">
      <c r="J6032" s="4"/>
      <c r="K6032" s="4"/>
    </row>
    <row r="6033" spans="10:11" ht="15.75" customHeight="1">
      <c r="J6033" s="4"/>
      <c r="K6033" s="4"/>
    </row>
    <row r="6034" spans="10:11" ht="15.75" customHeight="1">
      <c r="J6034" s="4"/>
      <c r="K6034" s="4"/>
    </row>
    <row r="6035" spans="10:11" ht="15.75" customHeight="1">
      <c r="J6035" s="4"/>
      <c r="K6035" s="4"/>
    </row>
    <row r="6036" spans="10:11" ht="15.75" customHeight="1">
      <c r="J6036" s="4"/>
      <c r="K6036" s="4"/>
    </row>
    <row r="6037" spans="10:11" ht="15.75" customHeight="1">
      <c r="J6037" s="4"/>
      <c r="K6037" s="4"/>
    </row>
    <row r="6038" spans="10:11" ht="15.75" customHeight="1">
      <c r="J6038" s="4"/>
      <c r="K6038" s="4"/>
    </row>
    <row r="6039" spans="10:11" ht="15.75" customHeight="1">
      <c r="J6039" s="4"/>
      <c r="K6039" s="4"/>
    </row>
    <row r="6040" spans="10:11" ht="15.75" customHeight="1">
      <c r="J6040" s="4"/>
      <c r="K6040" s="4"/>
    </row>
    <row r="6041" spans="10:11" ht="15.75" customHeight="1">
      <c r="J6041" s="4"/>
      <c r="K6041" s="4"/>
    </row>
    <row r="6042" spans="10:11" ht="15.75" customHeight="1">
      <c r="J6042" s="4"/>
      <c r="K6042" s="4"/>
    </row>
    <row r="6043" spans="10:11" ht="15.75" customHeight="1">
      <c r="J6043" s="4"/>
      <c r="K6043" s="4"/>
    </row>
    <row r="6044" spans="10:11" ht="15.75" customHeight="1">
      <c r="J6044" s="4"/>
      <c r="K6044" s="4"/>
    </row>
    <row r="6045" spans="10:11" ht="15.75" customHeight="1">
      <c r="J6045" s="4"/>
      <c r="K6045" s="4"/>
    </row>
    <row r="6046" spans="10:11" ht="15.75" customHeight="1">
      <c r="J6046" s="4"/>
      <c r="K6046" s="4"/>
    </row>
    <row r="6047" spans="10:11" ht="15.75" customHeight="1">
      <c r="J6047" s="4"/>
      <c r="K6047" s="4"/>
    </row>
    <row r="6048" spans="10:11" ht="15.75" customHeight="1">
      <c r="J6048" s="4"/>
      <c r="K6048" s="4"/>
    </row>
    <row r="6049" spans="10:11" ht="15.75" customHeight="1">
      <c r="J6049" s="4"/>
      <c r="K6049" s="4"/>
    </row>
    <row r="6050" spans="10:11" ht="15.75" customHeight="1">
      <c r="J6050" s="4"/>
      <c r="K6050" s="4"/>
    </row>
    <row r="6051" spans="10:11" ht="15.75" customHeight="1">
      <c r="J6051" s="4"/>
      <c r="K6051" s="4"/>
    </row>
    <row r="6052" spans="10:11" ht="15.75" customHeight="1">
      <c r="J6052" s="4"/>
      <c r="K6052" s="4"/>
    </row>
    <row r="6053" spans="10:11" ht="15.75" customHeight="1">
      <c r="J6053" s="4"/>
      <c r="K6053" s="4"/>
    </row>
    <row r="6054" spans="10:11" ht="15.75" customHeight="1">
      <c r="J6054" s="4"/>
      <c r="K6054" s="4"/>
    </row>
    <row r="6055" spans="10:11" ht="15.75" customHeight="1">
      <c r="J6055" s="4"/>
      <c r="K6055" s="4"/>
    </row>
    <row r="6056" spans="10:11" ht="15.75" customHeight="1">
      <c r="J6056" s="4"/>
      <c r="K6056" s="4"/>
    </row>
    <row r="6057" spans="10:11" ht="15.75" customHeight="1">
      <c r="J6057" s="4"/>
      <c r="K6057" s="4"/>
    </row>
    <row r="6058" spans="10:11" ht="15.75" customHeight="1">
      <c r="J6058" s="4"/>
      <c r="K6058" s="4"/>
    </row>
    <row r="6059" spans="10:11" ht="15.75" customHeight="1">
      <c r="J6059" s="4"/>
      <c r="K6059" s="4"/>
    </row>
    <row r="6060" spans="10:11" ht="15.75" customHeight="1">
      <c r="J6060" s="4"/>
      <c r="K6060" s="4"/>
    </row>
    <row r="6061" spans="10:11" ht="15.75" customHeight="1">
      <c r="J6061" s="4"/>
      <c r="K6061" s="4"/>
    </row>
    <row r="6062" spans="10:11" ht="15.75" customHeight="1">
      <c r="J6062" s="4"/>
      <c r="K6062" s="4"/>
    </row>
    <row r="6063" spans="10:11" ht="15.75" customHeight="1">
      <c r="J6063" s="4"/>
      <c r="K6063" s="4"/>
    </row>
    <row r="6064" spans="10:11" ht="15.75" customHeight="1">
      <c r="J6064" s="4"/>
      <c r="K6064" s="4"/>
    </row>
    <row r="6065" spans="10:11" ht="15.75" customHeight="1">
      <c r="J6065" s="4"/>
      <c r="K6065" s="4"/>
    </row>
    <row r="6066" spans="10:11" ht="15.75" customHeight="1">
      <c r="J6066" s="4"/>
      <c r="K6066" s="4"/>
    </row>
    <row r="6067" spans="10:11" ht="15.75" customHeight="1">
      <c r="J6067" s="4"/>
      <c r="K6067" s="4"/>
    </row>
    <row r="6068" spans="10:11" ht="15.75" customHeight="1">
      <c r="J6068" s="4"/>
      <c r="K6068" s="4"/>
    </row>
    <row r="6069" spans="10:11" ht="15.75" customHeight="1">
      <c r="J6069" s="4"/>
      <c r="K6069" s="4"/>
    </row>
    <row r="6070" spans="10:11" ht="15.75" customHeight="1">
      <c r="J6070" s="4"/>
      <c r="K6070" s="4"/>
    </row>
    <row r="6071" spans="10:11" ht="15.75" customHeight="1">
      <c r="J6071" s="4"/>
      <c r="K6071" s="4"/>
    </row>
    <row r="6072" spans="10:11" ht="15.75" customHeight="1">
      <c r="J6072" s="4"/>
      <c r="K6072" s="4"/>
    </row>
    <row r="6073" spans="10:11" ht="15.75" customHeight="1">
      <c r="J6073" s="4"/>
      <c r="K6073" s="4"/>
    </row>
    <row r="6074" spans="10:11" ht="15.75" customHeight="1">
      <c r="J6074" s="4"/>
      <c r="K6074" s="4"/>
    </row>
    <row r="6075" spans="10:11" ht="15.75" customHeight="1">
      <c r="J6075" s="4"/>
      <c r="K6075" s="4"/>
    </row>
    <row r="6076" spans="10:11" ht="15.75" customHeight="1">
      <c r="J6076" s="4"/>
      <c r="K6076" s="4"/>
    </row>
    <row r="6077" spans="10:11" ht="15.75" customHeight="1">
      <c r="J6077" s="4"/>
      <c r="K6077" s="4"/>
    </row>
    <row r="6078" spans="10:11" ht="15.75" customHeight="1">
      <c r="J6078" s="4"/>
      <c r="K6078" s="4"/>
    </row>
    <row r="6079" spans="10:11" ht="15.75" customHeight="1">
      <c r="J6079" s="4"/>
      <c r="K6079" s="4"/>
    </row>
    <row r="6080" spans="10:11" ht="15.75" customHeight="1">
      <c r="J6080" s="4"/>
      <c r="K6080" s="4"/>
    </row>
    <row r="6081" spans="10:11" ht="15.75" customHeight="1">
      <c r="J6081" s="4"/>
      <c r="K6081" s="4"/>
    </row>
    <row r="6082" spans="10:11" ht="15.75" customHeight="1">
      <c r="J6082" s="4"/>
      <c r="K6082" s="4"/>
    </row>
    <row r="6083" spans="10:11" ht="15.75" customHeight="1">
      <c r="J6083" s="4"/>
      <c r="K6083" s="4"/>
    </row>
    <row r="6084" spans="10:11" ht="15.75" customHeight="1">
      <c r="J6084" s="4"/>
      <c r="K6084" s="4"/>
    </row>
    <row r="6085" spans="10:11" ht="15.75" customHeight="1">
      <c r="J6085" s="4"/>
      <c r="K6085" s="4"/>
    </row>
    <row r="6086" spans="10:11" ht="15.75" customHeight="1">
      <c r="J6086" s="4"/>
      <c r="K6086" s="4"/>
    </row>
    <row r="6087" spans="10:11" ht="15.75" customHeight="1">
      <c r="J6087" s="4"/>
      <c r="K6087" s="4"/>
    </row>
    <row r="6088" spans="10:11" ht="15.75" customHeight="1">
      <c r="J6088" s="4"/>
      <c r="K6088" s="4"/>
    </row>
    <row r="6089" spans="10:11" ht="15.75" customHeight="1">
      <c r="J6089" s="4"/>
      <c r="K6089" s="4"/>
    </row>
    <row r="6090" spans="10:11" ht="15.75" customHeight="1">
      <c r="J6090" s="4"/>
      <c r="K6090" s="4"/>
    </row>
    <row r="6091" spans="10:11" ht="15.75" customHeight="1">
      <c r="J6091" s="4"/>
      <c r="K6091" s="4"/>
    </row>
    <row r="6092" spans="10:11" ht="15.75" customHeight="1">
      <c r="J6092" s="4"/>
      <c r="K6092" s="4"/>
    </row>
    <row r="6093" spans="10:11" ht="15.75" customHeight="1">
      <c r="J6093" s="4"/>
      <c r="K6093" s="4"/>
    </row>
    <row r="6094" spans="10:11" ht="15.75" customHeight="1">
      <c r="J6094" s="4"/>
      <c r="K6094" s="4"/>
    </row>
    <row r="6095" spans="10:11" ht="15.75" customHeight="1">
      <c r="J6095" s="4"/>
      <c r="K6095" s="4"/>
    </row>
    <row r="6096" spans="10:11" ht="15.75" customHeight="1">
      <c r="J6096" s="4"/>
      <c r="K6096" s="4"/>
    </row>
    <row r="6097" spans="10:11" ht="15.75" customHeight="1">
      <c r="J6097" s="4"/>
      <c r="K6097" s="4"/>
    </row>
    <row r="6098" spans="10:11" ht="15.75" customHeight="1">
      <c r="J6098" s="4"/>
      <c r="K6098" s="4"/>
    </row>
    <row r="6099" spans="10:11" ht="15.75" customHeight="1">
      <c r="J6099" s="4"/>
      <c r="K6099" s="4"/>
    </row>
    <row r="6100" spans="10:11" ht="15.75" customHeight="1">
      <c r="J6100" s="4"/>
      <c r="K6100" s="4"/>
    </row>
    <row r="6101" spans="10:11" ht="15.75" customHeight="1">
      <c r="J6101" s="4"/>
      <c r="K6101" s="4"/>
    </row>
    <row r="6102" spans="10:11" ht="15.75" customHeight="1">
      <c r="J6102" s="4"/>
      <c r="K6102" s="4"/>
    </row>
    <row r="6103" spans="10:11" ht="15.75" customHeight="1">
      <c r="J6103" s="4"/>
      <c r="K6103" s="4"/>
    </row>
    <row r="6104" spans="10:11" ht="15.75" customHeight="1">
      <c r="J6104" s="4"/>
      <c r="K6104" s="4"/>
    </row>
    <row r="6105" spans="10:11" ht="15.75" customHeight="1">
      <c r="J6105" s="4"/>
      <c r="K6105" s="4"/>
    </row>
    <row r="6106" spans="10:11" ht="15.75" customHeight="1">
      <c r="J6106" s="4"/>
      <c r="K6106" s="4"/>
    </row>
    <row r="6107" spans="10:11" ht="15.75" customHeight="1">
      <c r="J6107" s="4"/>
      <c r="K6107" s="4"/>
    </row>
    <row r="6108" spans="10:11" ht="15.75" customHeight="1">
      <c r="J6108" s="4"/>
      <c r="K6108" s="4"/>
    </row>
    <row r="6109" spans="10:11" ht="15.75" customHeight="1">
      <c r="J6109" s="4"/>
      <c r="K6109" s="4"/>
    </row>
    <row r="6110" spans="10:11" ht="15.75" customHeight="1">
      <c r="J6110" s="4"/>
      <c r="K6110" s="4"/>
    </row>
    <row r="6111" spans="10:11" ht="15.75" customHeight="1">
      <c r="J6111" s="4"/>
      <c r="K6111" s="4"/>
    </row>
    <row r="6112" spans="10:11" ht="15.75" customHeight="1">
      <c r="J6112" s="4"/>
      <c r="K6112" s="4"/>
    </row>
    <row r="6113" spans="10:11" ht="15.75" customHeight="1">
      <c r="J6113" s="4"/>
      <c r="K6113" s="4"/>
    </row>
    <row r="6114" spans="10:11" ht="15.75" customHeight="1">
      <c r="J6114" s="4"/>
      <c r="K6114" s="4"/>
    </row>
    <row r="6115" spans="10:11" ht="15.75" customHeight="1">
      <c r="J6115" s="4"/>
      <c r="K6115" s="4"/>
    </row>
    <row r="6116" spans="10:11" ht="15.75" customHeight="1">
      <c r="J6116" s="4"/>
      <c r="K6116" s="4"/>
    </row>
    <row r="6117" spans="10:11" ht="15.75" customHeight="1">
      <c r="J6117" s="4"/>
      <c r="K6117" s="4"/>
    </row>
    <row r="6118" spans="10:11" ht="15.75" customHeight="1">
      <c r="J6118" s="4"/>
      <c r="K6118" s="4"/>
    </row>
    <row r="6119" spans="10:11" ht="15.75" customHeight="1">
      <c r="J6119" s="4"/>
      <c r="K6119" s="4"/>
    </row>
    <row r="6120" spans="10:11" ht="15.75" customHeight="1">
      <c r="J6120" s="4"/>
      <c r="K6120" s="4"/>
    </row>
    <row r="6121" spans="10:11" ht="15.75" customHeight="1">
      <c r="J6121" s="4"/>
      <c r="K6121" s="4"/>
    </row>
    <row r="6122" spans="10:11" ht="15.75" customHeight="1">
      <c r="J6122" s="4"/>
      <c r="K6122" s="4"/>
    </row>
    <row r="6123" spans="10:11" ht="15.75" customHeight="1">
      <c r="J6123" s="4"/>
      <c r="K6123" s="4"/>
    </row>
    <row r="6124" spans="10:11" ht="15.75" customHeight="1">
      <c r="J6124" s="4"/>
      <c r="K6124" s="4"/>
    </row>
    <row r="6125" spans="10:11" ht="15.75" customHeight="1">
      <c r="J6125" s="4"/>
      <c r="K6125" s="4"/>
    </row>
    <row r="6126" spans="10:11" ht="15.75" customHeight="1">
      <c r="J6126" s="4"/>
      <c r="K6126" s="4"/>
    </row>
    <row r="6127" spans="10:11" ht="15.75" customHeight="1">
      <c r="J6127" s="4"/>
      <c r="K6127" s="4"/>
    </row>
    <row r="6128" spans="10:11" ht="15.75" customHeight="1">
      <c r="J6128" s="4"/>
      <c r="K6128" s="4"/>
    </row>
    <row r="6129" spans="10:11" ht="15.75" customHeight="1">
      <c r="J6129" s="4"/>
      <c r="K6129" s="4"/>
    </row>
    <row r="6130" spans="10:11" ht="15.75" customHeight="1">
      <c r="J6130" s="4"/>
      <c r="K6130" s="4"/>
    </row>
    <row r="6131" spans="10:11" ht="15.75" customHeight="1">
      <c r="J6131" s="4"/>
      <c r="K6131" s="4"/>
    </row>
    <row r="6132" spans="10:11" ht="15.75" customHeight="1">
      <c r="J6132" s="4"/>
      <c r="K6132" s="4"/>
    </row>
    <row r="6133" spans="10:11" ht="15.75" customHeight="1">
      <c r="J6133" s="4"/>
      <c r="K6133" s="4"/>
    </row>
    <row r="6134" spans="10:11" ht="15.75" customHeight="1">
      <c r="J6134" s="4"/>
      <c r="K6134" s="4"/>
    </row>
  </sheetData>
  <autoFilter ref="A1:K1" xr:uid="{00000000-0001-0000-0000-000000000000}"/>
  <phoneticPr fontId="3" type="noConversion"/>
  <conditionalFormatting sqref="I1:I205 I6135:I1048576">
    <cfRule type="cellIs" dxfId="16" priority="3" operator="lessThan">
      <formula>1</formula>
    </cfRule>
  </conditionalFormatting>
  <conditionalFormatting sqref="J2:J205">
    <cfRule type="cellIs" dxfId="15" priority="1" operator="equal">
      <formula>"EXPIRED"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4DCA-140E-477C-8256-5841ABEA89BD}">
  <sheetPr>
    <tabColor theme="7" tint="0.39997558519241921"/>
  </sheetPr>
  <dimension ref="A3:B16"/>
  <sheetViews>
    <sheetView workbookViewId="0">
      <selection activeCell="B10" sqref="B10:B12"/>
    </sheetView>
  </sheetViews>
  <sheetFormatPr defaultRowHeight="12.5"/>
  <cols>
    <col min="1" max="1" width="13.6328125" bestFit="1" customWidth="1"/>
    <col min="2" max="2" width="11.7265625" bestFit="1" customWidth="1"/>
  </cols>
  <sheetData>
    <row r="3" spans="1:2">
      <c r="A3" s="77" t="s">
        <v>429</v>
      </c>
      <c r="B3" t="s">
        <v>428</v>
      </c>
    </row>
    <row r="4" spans="1:2">
      <c r="A4" s="78" t="s">
        <v>397</v>
      </c>
      <c r="B4">
        <v>620</v>
      </c>
    </row>
    <row r="5" spans="1:2">
      <c r="A5" s="78" t="s">
        <v>398</v>
      </c>
      <c r="B5">
        <v>1290</v>
      </c>
    </row>
    <row r="6" spans="1:2">
      <c r="A6" s="78" t="s">
        <v>399</v>
      </c>
      <c r="B6">
        <v>1715</v>
      </c>
    </row>
    <row r="7" spans="1:2">
      <c r="A7" s="78" t="s">
        <v>400</v>
      </c>
      <c r="B7">
        <v>565</v>
      </c>
    </row>
    <row r="8" spans="1:2">
      <c r="A8" s="78" t="s">
        <v>401</v>
      </c>
      <c r="B8">
        <v>435</v>
      </c>
    </row>
    <row r="9" spans="1:2">
      <c r="A9" s="78" t="s">
        <v>402</v>
      </c>
      <c r="B9">
        <v>3385</v>
      </c>
    </row>
    <row r="10" spans="1:2">
      <c r="A10" s="78" t="s">
        <v>403</v>
      </c>
      <c r="B10">
        <v>4520</v>
      </c>
    </row>
    <row r="11" spans="1:2">
      <c r="A11" s="78" t="s">
        <v>404</v>
      </c>
      <c r="B11">
        <v>4485</v>
      </c>
    </row>
    <row r="12" spans="1:2">
      <c r="A12" s="78" t="s">
        <v>393</v>
      </c>
      <c r="B12">
        <v>6150</v>
      </c>
    </row>
    <row r="13" spans="1:2">
      <c r="A13" s="78" t="s">
        <v>394</v>
      </c>
      <c r="B13">
        <v>3687</v>
      </c>
    </row>
    <row r="14" spans="1:2">
      <c r="A14" s="78" t="s">
        <v>395</v>
      </c>
      <c r="B14">
        <v>161</v>
      </c>
    </row>
    <row r="15" spans="1:2">
      <c r="A15" s="78" t="s">
        <v>430</v>
      </c>
      <c r="B15">
        <v>125</v>
      </c>
    </row>
    <row r="16" spans="1:2">
      <c r="A16" s="78" t="s">
        <v>431</v>
      </c>
      <c r="B16">
        <v>27138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EB3F-BABF-4F7B-8C07-454EEB590842}">
  <sheetPr>
    <tabColor theme="9" tint="0.59999389629810485"/>
  </sheetPr>
  <dimension ref="A1:J24"/>
  <sheetViews>
    <sheetView zoomScale="40" zoomScaleNormal="40" workbookViewId="0">
      <selection activeCell="D15" activeCellId="6" sqref="D2 D3 D5 D12 D13 D14 D15"/>
    </sheetView>
  </sheetViews>
  <sheetFormatPr defaultRowHeight="32.5"/>
  <cols>
    <col min="1" max="1" width="20.26953125" style="143" bestFit="1" customWidth="1"/>
    <col min="2" max="2" width="13.90625" style="143" bestFit="1" customWidth="1"/>
    <col min="3" max="3" width="63.81640625" style="143" customWidth="1"/>
    <col min="4" max="4" width="28" style="143" bestFit="1" customWidth="1"/>
    <col min="5" max="5" width="29.54296875" style="143" bestFit="1" customWidth="1"/>
    <col min="6" max="6" width="33.26953125" style="143" bestFit="1" customWidth="1"/>
    <col min="7" max="7" width="66.7265625" style="143" bestFit="1" customWidth="1"/>
    <col min="8" max="8" width="35.81640625" style="143" bestFit="1" customWidth="1"/>
    <col min="9" max="9" width="26.36328125" style="122" bestFit="1" customWidth="1"/>
    <col min="10" max="10" width="43.1796875" style="122" bestFit="1" customWidth="1"/>
    <col min="11" max="16384" width="8.7265625" style="122"/>
  </cols>
  <sheetData>
    <row r="1" spans="1:10" s="113" customFormat="1" ht="82" customHeight="1">
      <c r="A1" s="170" t="s">
        <v>0</v>
      </c>
      <c r="B1" s="171" t="s">
        <v>374</v>
      </c>
      <c r="C1" s="170" t="s">
        <v>1</v>
      </c>
      <c r="D1" s="170" t="s">
        <v>2</v>
      </c>
      <c r="E1" s="170" t="s">
        <v>3</v>
      </c>
      <c r="F1" s="170" t="s">
        <v>4</v>
      </c>
      <c r="G1" s="170" t="s">
        <v>5</v>
      </c>
      <c r="H1" s="172" t="s">
        <v>387</v>
      </c>
      <c r="I1" s="170" t="s">
        <v>388</v>
      </c>
      <c r="J1" s="173" t="s">
        <v>390</v>
      </c>
    </row>
    <row r="2" spans="1:10" ht="33">
      <c r="A2" s="114">
        <v>2</v>
      </c>
      <c r="B2" s="115">
        <v>100</v>
      </c>
      <c r="C2" s="183" t="s">
        <v>433</v>
      </c>
      <c r="D2" s="174">
        <v>45979</v>
      </c>
      <c r="E2" s="116">
        <v>46041</v>
      </c>
      <c r="F2" s="117">
        <v>973302147</v>
      </c>
      <c r="G2" s="118" t="s">
        <v>436</v>
      </c>
      <c r="H2" s="119">
        <f t="shared" ref="H2:H24" ca="1" si="0">NOW()</f>
        <v>46020.437982060183</v>
      </c>
      <c r="I2" s="120">
        <f ca="1">E2-H2</f>
        <v>20.562017939817451</v>
      </c>
      <c r="J2" s="121" t="str">
        <f t="shared" ref="J2:J24" ca="1" si="1">IF(I2&lt;=0, "EXPIRED",
 IF(I2&lt;=7, "DUE THIS WEEK",
 IF(I2&lt;=30, "DUE THIS MONTH", "ACTIVE")))</f>
        <v>DUE THIS MONTH</v>
      </c>
    </row>
    <row r="3" spans="1:10" ht="33">
      <c r="A3" s="123">
        <v>1</v>
      </c>
      <c r="B3" s="115">
        <v>75</v>
      </c>
      <c r="C3" s="183" t="s">
        <v>433</v>
      </c>
      <c r="D3" s="175">
        <v>45973</v>
      </c>
      <c r="E3" s="124">
        <v>46003</v>
      </c>
      <c r="F3" s="125">
        <v>972598612</v>
      </c>
      <c r="G3" s="125" t="s">
        <v>437</v>
      </c>
      <c r="H3" s="119">
        <f t="shared" ca="1" si="0"/>
        <v>46020.437982060183</v>
      </c>
      <c r="I3" s="120">
        <f t="shared" ref="I3:I24" ca="1" si="2">E3-H3</f>
        <v>-17.437982060182549</v>
      </c>
      <c r="J3" s="121" t="str">
        <f t="shared" ca="1" si="1"/>
        <v>EXPIRED</v>
      </c>
    </row>
    <row r="4" spans="1:10" ht="33">
      <c r="A4" s="126">
        <v>3</v>
      </c>
      <c r="B4" s="115">
        <v>165</v>
      </c>
      <c r="C4" s="183" t="s">
        <v>433</v>
      </c>
      <c r="D4" s="127">
        <v>45950</v>
      </c>
      <c r="E4" s="128">
        <v>46042</v>
      </c>
      <c r="F4" s="118">
        <v>779039083</v>
      </c>
      <c r="G4" s="118" t="s">
        <v>438</v>
      </c>
      <c r="H4" s="119">
        <f t="shared" ca="1" si="0"/>
        <v>46020.437982060183</v>
      </c>
      <c r="I4" s="120">
        <f t="shared" ca="1" si="2"/>
        <v>21.562017939817451</v>
      </c>
      <c r="J4" s="121" t="str">
        <f t="shared" ca="1" si="1"/>
        <v>DUE THIS MONTH</v>
      </c>
    </row>
    <row r="5" spans="1:10" ht="33">
      <c r="A5" s="126">
        <v>2</v>
      </c>
      <c r="B5" s="115">
        <v>100</v>
      </c>
      <c r="C5" s="183" t="s">
        <v>433</v>
      </c>
      <c r="D5" s="176">
        <v>45968</v>
      </c>
      <c r="E5" s="127">
        <v>46029</v>
      </c>
      <c r="F5" s="118">
        <v>968027738</v>
      </c>
      <c r="G5" s="118" t="s">
        <v>439</v>
      </c>
      <c r="H5" s="119">
        <f t="shared" ca="1" si="0"/>
        <v>46020.437982060183</v>
      </c>
      <c r="I5" s="120">
        <f t="shared" ca="1" si="2"/>
        <v>8.5620179398174514</v>
      </c>
      <c r="J5" s="121" t="str">
        <f t="shared" ca="1" si="1"/>
        <v>DUE THIS MONTH</v>
      </c>
    </row>
    <row r="6" spans="1:10" ht="29" customHeight="1">
      <c r="A6" s="123"/>
      <c r="B6" s="115"/>
      <c r="C6" s="184" t="s">
        <v>440</v>
      </c>
      <c r="D6" s="124">
        <v>45673</v>
      </c>
      <c r="E6" s="124"/>
      <c r="F6" s="125"/>
      <c r="G6" s="125" t="s">
        <v>434</v>
      </c>
      <c r="H6" s="119">
        <f t="shared" ca="1" si="0"/>
        <v>46020.437982060183</v>
      </c>
      <c r="I6" s="120">
        <f t="shared" ca="1" si="2"/>
        <v>-46020.437982060183</v>
      </c>
      <c r="J6" s="121" t="str">
        <f t="shared" ca="1" si="1"/>
        <v>EXPIRED</v>
      </c>
    </row>
    <row r="7" spans="1:10">
      <c r="A7" s="130"/>
      <c r="B7" s="115"/>
      <c r="C7" s="184" t="s">
        <v>440</v>
      </c>
      <c r="D7" s="131">
        <v>46009</v>
      </c>
      <c r="E7" s="132"/>
      <c r="F7" s="133"/>
      <c r="G7" s="133" t="s">
        <v>435</v>
      </c>
      <c r="H7" s="119">
        <f t="shared" ca="1" si="0"/>
        <v>46020.437982060183</v>
      </c>
      <c r="I7" s="120">
        <f t="shared" ca="1" si="2"/>
        <v>-46020.437982060183</v>
      </c>
      <c r="J7" s="121" t="str">
        <f t="shared" ca="1" si="1"/>
        <v>EXPIRED</v>
      </c>
    </row>
    <row r="8" spans="1:10" ht="33">
      <c r="A8" s="123"/>
      <c r="B8" s="115"/>
      <c r="C8" s="184" t="s">
        <v>440</v>
      </c>
      <c r="D8" s="124"/>
      <c r="E8" s="124"/>
      <c r="F8" s="125"/>
      <c r="G8" s="125"/>
      <c r="H8" s="119">
        <f t="shared" ca="1" si="0"/>
        <v>46020.437982060183</v>
      </c>
      <c r="I8" s="120">
        <f t="shared" ca="1" si="2"/>
        <v>-46020.437982060183</v>
      </c>
      <c r="J8" s="121" t="str">
        <f t="shared" ca="1" si="1"/>
        <v>EXPIRED</v>
      </c>
    </row>
    <row r="9" spans="1:10" ht="33">
      <c r="A9" s="114"/>
      <c r="B9" s="115"/>
      <c r="C9" s="184" t="s">
        <v>440</v>
      </c>
      <c r="D9" s="116"/>
      <c r="E9" s="116"/>
      <c r="F9" s="117"/>
      <c r="G9" s="117"/>
      <c r="H9" s="119">
        <f t="shared" ca="1" si="0"/>
        <v>46020.437982060183</v>
      </c>
      <c r="I9" s="120">
        <f t="shared" ca="1" si="2"/>
        <v>-46020.437982060183</v>
      </c>
      <c r="J9" s="121" t="str">
        <f t="shared" ca="1" si="1"/>
        <v>EXPIRED</v>
      </c>
    </row>
    <row r="10" spans="1:10" ht="33">
      <c r="A10" s="114">
        <v>3</v>
      </c>
      <c r="B10" s="115">
        <v>165</v>
      </c>
      <c r="C10" s="185" t="s">
        <v>445</v>
      </c>
      <c r="D10" s="116">
        <v>45940</v>
      </c>
      <c r="E10" s="116">
        <v>46032</v>
      </c>
      <c r="F10" s="117">
        <v>977267238</v>
      </c>
      <c r="G10" s="117" t="s">
        <v>441</v>
      </c>
      <c r="H10" s="119">
        <f t="shared" ca="1" si="0"/>
        <v>46020.437982060183</v>
      </c>
      <c r="I10" s="120">
        <f t="shared" ca="1" si="2"/>
        <v>11.562017939817451</v>
      </c>
      <c r="J10" s="121" t="str">
        <f t="shared" ca="1" si="1"/>
        <v>DUE THIS MONTH</v>
      </c>
    </row>
    <row r="11" spans="1:10" ht="33">
      <c r="A11" s="114"/>
      <c r="B11" s="115"/>
      <c r="C11" s="185" t="s">
        <v>445</v>
      </c>
      <c r="D11" s="137"/>
      <c r="E11" s="116"/>
      <c r="F11" s="117"/>
      <c r="G11" s="117" t="s">
        <v>442</v>
      </c>
      <c r="H11" s="119">
        <f t="shared" ca="1" si="0"/>
        <v>46020.437982060183</v>
      </c>
      <c r="I11" s="120">
        <f t="shared" ca="1" si="2"/>
        <v>-46020.437982060183</v>
      </c>
      <c r="J11" s="121" t="str">
        <f t="shared" ca="1" si="1"/>
        <v>EXPIRED</v>
      </c>
    </row>
    <row r="12" spans="1:10" ht="33">
      <c r="A12" s="123">
        <v>1</v>
      </c>
      <c r="B12" s="115">
        <v>75</v>
      </c>
      <c r="C12" s="185" t="s">
        <v>445</v>
      </c>
      <c r="D12" s="175">
        <v>45964</v>
      </c>
      <c r="E12" s="124">
        <v>45994</v>
      </c>
      <c r="F12" s="125">
        <v>970344497</v>
      </c>
      <c r="G12" s="125" t="s">
        <v>443</v>
      </c>
      <c r="H12" s="119">
        <f t="shared" ca="1" si="0"/>
        <v>46020.437982060183</v>
      </c>
      <c r="I12" s="120">
        <f t="shared" ca="1" si="2"/>
        <v>-26.437982060182549</v>
      </c>
      <c r="J12" s="121" t="str">
        <f t="shared" ca="1" si="1"/>
        <v>EXPIRED</v>
      </c>
    </row>
    <row r="13" spans="1:10" ht="33">
      <c r="A13" s="130">
        <v>2</v>
      </c>
      <c r="B13" s="115">
        <v>100</v>
      </c>
      <c r="C13" s="185" t="s">
        <v>445</v>
      </c>
      <c r="D13" s="177">
        <v>45969</v>
      </c>
      <c r="E13" s="131">
        <v>45665</v>
      </c>
      <c r="F13" s="133">
        <v>773956064</v>
      </c>
      <c r="G13" s="133" t="s">
        <v>444</v>
      </c>
      <c r="H13" s="119">
        <f t="shared" ca="1" si="0"/>
        <v>46020.437982060183</v>
      </c>
      <c r="I13" s="120">
        <f t="shared" ca="1" si="2"/>
        <v>-355.43798206018255</v>
      </c>
      <c r="J13" s="121" t="str">
        <f t="shared" ca="1" si="1"/>
        <v>EXPIRED</v>
      </c>
    </row>
    <row r="14" spans="1:10">
      <c r="A14" s="118">
        <v>1</v>
      </c>
      <c r="B14" s="115">
        <v>100</v>
      </c>
      <c r="C14" s="186" t="s">
        <v>449</v>
      </c>
      <c r="D14" s="178">
        <v>45971</v>
      </c>
      <c r="E14" s="127">
        <v>46001</v>
      </c>
      <c r="F14" s="133">
        <v>974275830</v>
      </c>
      <c r="G14" s="133" t="s">
        <v>446</v>
      </c>
      <c r="H14" s="119">
        <f t="shared" ca="1" si="0"/>
        <v>46020.437982060183</v>
      </c>
      <c r="I14" s="120">
        <f t="shared" ca="1" si="2"/>
        <v>-19.437982060182549</v>
      </c>
      <c r="J14" s="121" t="str">
        <f t="shared" ca="1" si="1"/>
        <v>EXPIRED</v>
      </c>
    </row>
    <row r="15" spans="1:10" ht="33">
      <c r="A15" s="123">
        <v>3</v>
      </c>
      <c r="B15" s="115">
        <v>165</v>
      </c>
      <c r="C15" s="186" t="s">
        <v>449</v>
      </c>
      <c r="D15" s="175">
        <v>45971</v>
      </c>
      <c r="E15" s="124">
        <v>46063</v>
      </c>
      <c r="F15" s="118"/>
      <c r="G15" s="118" t="s">
        <v>447</v>
      </c>
      <c r="H15" s="119">
        <f t="shared" ca="1" si="0"/>
        <v>46020.437982060183</v>
      </c>
      <c r="I15" s="120">
        <f t="shared" ca="1" si="2"/>
        <v>42.562017939817451</v>
      </c>
      <c r="J15" s="121" t="str">
        <f t="shared" ca="1" si="1"/>
        <v>ACTIVE</v>
      </c>
    </row>
    <row r="16" spans="1:10" ht="33">
      <c r="A16" s="126">
        <v>6</v>
      </c>
      <c r="B16" s="115">
        <v>205</v>
      </c>
      <c r="C16" s="186" t="s">
        <v>449</v>
      </c>
      <c r="D16" s="127">
        <v>45912</v>
      </c>
      <c r="E16" s="127">
        <v>46093</v>
      </c>
      <c r="F16" s="125">
        <v>235998664122</v>
      </c>
      <c r="G16" s="125" t="s">
        <v>448</v>
      </c>
      <c r="H16" s="119">
        <f t="shared" ca="1" si="0"/>
        <v>46020.437982060183</v>
      </c>
      <c r="I16" s="120">
        <f t="shared" ca="1" si="2"/>
        <v>72.562017939817451</v>
      </c>
      <c r="J16" s="121" t="str">
        <f t="shared" ca="1" si="1"/>
        <v>ACTIVE</v>
      </c>
    </row>
    <row r="17" spans="1:10" ht="33">
      <c r="A17" s="123">
        <v>3</v>
      </c>
      <c r="B17" s="115">
        <v>165</v>
      </c>
      <c r="C17" s="187" t="s">
        <v>454</v>
      </c>
      <c r="D17" s="124">
        <v>45937</v>
      </c>
      <c r="E17" s="124">
        <v>46030</v>
      </c>
      <c r="F17" s="118">
        <v>978491620</v>
      </c>
      <c r="G17" s="118" t="s">
        <v>450</v>
      </c>
      <c r="H17" s="119">
        <f t="shared" ca="1" si="0"/>
        <v>46020.437982060183</v>
      </c>
      <c r="I17" s="120">
        <f t="shared" ca="1" si="2"/>
        <v>9.5620179398174514</v>
      </c>
      <c r="J17" s="121" t="str">
        <f t="shared" ca="1" si="1"/>
        <v>DUE THIS MONTH</v>
      </c>
    </row>
    <row r="18" spans="1:10" ht="33">
      <c r="A18" s="126">
        <v>2</v>
      </c>
      <c r="B18" s="115">
        <v>100</v>
      </c>
      <c r="C18" s="187" t="s">
        <v>454</v>
      </c>
      <c r="D18" s="127">
        <v>45938</v>
      </c>
      <c r="E18" s="128">
        <v>45999</v>
      </c>
      <c r="F18" s="125">
        <v>977946614</v>
      </c>
      <c r="G18" s="125" t="s">
        <v>451</v>
      </c>
      <c r="H18" s="119">
        <f t="shared" ca="1" si="0"/>
        <v>46020.437982060183</v>
      </c>
      <c r="I18" s="120">
        <f t="shared" ca="1" si="2"/>
        <v>-21.437982060182549</v>
      </c>
      <c r="J18" s="121" t="str">
        <f t="shared" ca="1" si="1"/>
        <v>EXPIRED</v>
      </c>
    </row>
    <row r="19" spans="1:10" ht="33">
      <c r="A19" s="123"/>
      <c r="B19" s="115"/>
      <c r="C19" s="187" t="s">
        <v>454</v>
      </c>
      <c r="D19" s="124"/>
      <c r="E19" s="124"/>
      <c r="F19" s="118"/>
      <c r="G19" s="118" t="s">
        <v>452</v>
      </c>
      <c r="H19" s="119">
        <f t="shared" ca="1" si="0"/>
        <v>46020.437982060183</v>
      </c>
      <c r="I19" s="120">
        <f t="shared" ca="1" si="2"/>
        <v>-46020.437982060183</v>
      </c>
      <c r="J19" s="121" t="str">
        <f t="shared" ca="1" si="1"/>
        <v>EXPIRED</v>
      </c>
    </row>
    <row r="20" spans="1:10" ht="33">
      <c r="A20" s="123">
        <v>2</v>
      </c>
      <c r="B20" s="115">
        <v>100</v>
      </c>
      <c r="C20" s="187" t="s">
        <v>454</v>
      </c>
      <c r="D20" s="138">
        <v>45940</v>
      </c>
      <c r="E20" s="124">
        <v>46001</v>
      </c>
      <c r="F20" s="125">
        <v>779935596</v>
      </c>
      <c r="G20" s="125" t="s">
        <v>453</v>
      </c>
      <c r="H20" s="119">
        <f t="shared" ca="1" si="0"/>
        <v>46020.437982060183</v>
      </c>
      <c r="I20" s="120">
        <f t="shared" ca="1" si="2"/>
        <v>-19.437982060182549</v>
      </c>
      <c r="J20" s="121" t="str">
        <f t="shared" ca="1" si="1"/>
        <v>EXPIRED</v>
      </c>
    </row>
    <row r="21" spans="1:10" ht="33.5" customHeight="1">
      <c r="A21" s="179" t="s">
        <v>459</v>
      </c>
      <c r="B21" s="115">
        <v>100</v>
      </c>
      <c r="C21" s="188" t="s">
        <v>460</v>
      </c>
      <c r="D21" s="180">
        <v>45952</v>
      </c>
      <c r="E21" s="181">
        <v>46013</v>
      </c>
      <c r="F21" s="133">
        <v>263712564967</v>
      </c>
      <c r="G21" s="133" t="s">
        <v>455</v>
      </c>
      <c r="H21" s="119">
        <f t="shared" ca="1" si="0"/>
        <v>46020.437982060183</v>
      </c>
      <c r="I21" s="120">
        <f t="shared" ca="1" si="2"/>
        <v>-7.4379820601825486</v>
      </c>
      <c r="J21" s="121" t="str">
        <f t="shared" ca="1" si="1"/>
        <v>EXPIRED</v>
      </c>
    </row>
    <row r="22" spans="1:10" ht="33.5" customHeight="1">
      <c r="A22" s="126">
        <v>2</v>
      </c>
      <c r="B22" s="115">
        <v>100</v>
      </c>
      <c r="C22" s="188" t="s">
        <v>460</v>
      </c>
      <c r="D22" s="182">
        <v>45947</v>
      </c>
      <c r="E22" s="182">
        <v>46008</v>
      </c>
      <c r="F22" s="118"/>
      <c r="G22" s="118" t="s">
        <v>456</v>
      </c>
      <c r="H22" s="119">
        <f t="shared" ca="1" si="0"/>
        <v>46020.437982060183</v>
      </c>
      <c r="I22" s="120">
        <f t="shared" ca="1" si="2"/>
        <v>-12.437982060182549</v>
      </c>
      <c r="J22" s="121" t="str">
        <f t="shared" ca="1" si="1"/>
        <v>EXPIRED</v>
      </c>
    </row>
    <row r="23" spans="1:10">
      <c r="A23" s="126">
        <v>2</v>
      </c>
      <c r="B23" s="115">
        <v>100</v>
      </c>
      <c r="C23" s="188" t="s">
        <v>460</v>
      </c>
      <c r="D23" s="128">
        <v>45992</v>
      </c>
      <c r="E23" s="127">
        <v>46055</v>
      </c>
      <c r="F23" s="118"/>
      <c r="G23" s="118" t="s">
        <v>457</v>
      </c>
      <c r="H23" s="119">
        <f t="shared" ca="1" si="0"/>
        <v>46020.437982060183</v>
      </c>
      <c r="I23" s="120">
        <f t="shared" ca="1" si="2"/>
        <v>34.562017939817451</v>
      </c>
      <c r="J23" s="121" t="str">
        <f t="shared" ca="1" si="1"/>
        <v>ACTIVE</v>
      </c>
    </row>
    <row r="24" spans="1:10" ht="33">
      <c r="A24" s="114"/>
      <c r="B24" s="115"/>
      <c r="C24" s="189"/>
      <c r="D24" s="116"/>
      <c r="E24" s="116"/>
      <c r="F24" s="118"/>
      <c r="G24" s="118" t="s">
        <v>458</v>
      </c>
      <c r="H24" s="119">
        <f t="shared" ca="1" si="0"/>
        <v>46020.437982060183</v>
      </c>
      <c r="I24" s="120">
        <f t="shared" ca="1" si="2"/>
        <v>-46020.437982060183</v>
      </c>
      <c r="J24" s="121" t="str">
        <f t="shared" ca="1" si="1"/>
        <v>EXPIRED</v>
      </c>
    </row>
  </sheetData>
  <autoFilter ref="A1:J1" xr:uid="{05A9EB3F-BABF-4F7B-8C07-454EEB590842}"/>
  <phoneticPr fontId="41" type="noConversion"/>
  <conditionalFormatting sqref="I1:I24">
    <cfRule type="cellIs" dxfId="14" priority="3" operator="lessThan">
      <formula>1</formula>
    </cfRule>
  </conditionalFormatting>
  <conditionalFormatting sqref="I2:I24">
    <cfRule type="cellIs" dxfId="13" priority="2" operator="lessThan">
      <formula>10</formula>
    </cfRule>
  </conditionalFormatting>
  <conditionalFormatting sqref="J2:J24">
    <cfRule type="cellIs" dxfId="12" priority="1" operator="equal">
      <formula>"EXPIRED"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DE1A-0D50-4A83-9BDB-706BE8264250}">
  <sheetPr>
    <tabColor theme="6" tint="0.79998168889431442"/>
  </sheetPr>
  <dimension ref="A1:I21"/>
  <sheetViews>
    <sheetView tabSelected="1" zoomScale="70" zoomScaleNormal="70" workbookViewId="0">
      <selection activeCell="G17" sqref="G17"/>
    </sheetView>
  </sheetViews>
  <sheetFormatPr defaultRowHeight="12.5"/>
  <cols>
    <col min="1" max="1" width="20" style="198" bestFit="1" customWidth="1"/>
    <col min="2" max="2" width="13.7265625" style="198" bestFit="1" customWidth="1"/>
    <col min="3" max="3" width="24.26953125" style="200" bestFit="1" customWidth="1"/>
    <col min="4" max="4" width="28.81640625" style="200" bestFit="1" customWidth="1"/>
    <col min="5" max="5" width="21.08984375" style="201" bestFit="1" customWidth="1"/>
    <col min="6" max="6" width="16" style="198" bestFit="1" customWidth="1"/>
    <col min="7" max="7" width="35.6328125" style="200" bestFit="1" customWidth="1"/>
    <col min="8" max="8" width="26.1796875" style="201" bestFit="1" customWidth="1"/>
    <col min="9" max="9" width="20.54296875" style="201" bestFit="1" customWidth="1"/>
    <col min="10" max="16384" width="8.7265625" style="198"/>
  </cols>
  <sheetData>
    <row r="1" spans="1:9" s="192" customFormat="1" ht="82" customHeight="1">
      <c r="A1" s="147" t="s">
        <v>0</v>
      </c>
      <c r="B1" s="147" t="s">
        <v>374</v>
      </c>
      <c r="C1" s="147" t="s">
        <v>2</v>
      </c>
      <c r="D1" s="147" t="s">
        <v>3</v>
      </c>
      <c r="E1" s="147" t="s">
        <v>4</v>
      </c>
      <c r="F1" s="147" t="s">
        <v>5</v>
      </c>
      <c r="G1" s="190" t="s">
        <v>387</v>
      </c>
      <c r="H1" s="147" t="s">
        <v>388</v>
      </c>
      <c r="I1" s="191" t="s">
        <v>390</v>
      </c>
    </row>
    <row r="2" spans="1:9">
      <c r="A2" s="193">
        <v>1</v>
      </c>
      <c r="B2" s="194">
        <v>65</v>
      </c>
      <c r="C2" s="195">
        <v>45975</v>
      </c>
      <c r="D2" s="196">
        <v>46005</v>
      </c>
      <c r="E2" s="193">
        <v>979364673</v>
      </c>
      <c r="F2" s="194" t="s">
        <v>461</v>
      </c>
      <c r="G2" s="197">
        <f ca="1">TODAY()</f>
        <v>46020</v>
      </c>
      <c r="H2" s="193">
        <f ca="1">D2-G2</f>
        <v>-15</v>
      </c>
      <c r="I2" s="193" t="str">
        <f t="shared" ref="I2:I13" ca="1" si="0">IF(H2&lt;=0, "EXPIRED",
 IF(H2&lt;=7, "DUE THIS WEEK",
 IF(H2&lt;=30, "DUE THIS MONTH", "ACTIVE")))</f>
        <v>EXPIRED</v>
      </c>
    </row>
    <row r="3" spans="1:9">
      <c r="A3" s="193">
        <v>12</v>
      </c>
      <c r="B3" s="194">
        <v>480</v>
      </c>
      <c r="C3" s="195">
        <v>45975</v>
      </c>
      <c r="D3" s="196">
        <v>46340</v>
      </c>
      <c r="E3" s="193">
        <v>972378483</v>
      </c>
      <c r="F3" s="194" t="s">
        <v>462</v>
      </c>
      <c r="G3" s="197">
        <f t="shared" ref="G3:G13" ca="1" si="1">TODAY()</f>
        <v>46020</v>
      </c>
      <c r="H3" s="193">
        <f t="shared" ref="H3:H13" ca="1" si="2">D3-G3</f>
        <v>320</v>
      </c>
      <c r="I3" s="193" t="str">
        <f t="shared" ca="1" si="0"/>
        <v>ACTIVE</v>
      </c>
    </row>
    <row r="4" spans="1:9">
      <c r="A4" s="193">
        <v>12</v>
      </c>
      <c r="B4" s="194">
        <v>480</v>
      </c>
      <c r="C4" s="195">
        <v>45974</v>
      </c>
      <c r="D4" s="196">
        <v>46340</v>
      </c>
      <c r="E4" s="193">
        <v>979983235</v>
      </c>
      <c r="F4" s="194" t="s">
        <v>463</v>
      </c>
      <c r="G4" s="197">
        <f t="shared" ca="1" si="1"/>
        <v>46020</v>
      </c>
      <c r="H4" s="193">
        <f t="shared" ca="1" si="2"/>
        <v>320</v>
      </c>
      <c r="I4" s="193" t="str">
        <f t="shared" ca="1" si="0"/>
        <v>ACTIVE</v>
      </c>
    </row>
    <row r="5" spans="1:9">
      <c r="A5" s="193">
        <v>1</v>
      </c>
      <c r="B5" s="194">
        <v>65</v>
      </c>
      <c r="C5" s="195">
        <v>45975</v>
      </c>
      <c r="D5" s="196">
        <v>46005</v>
      </c>
      <c r="E5" s="193">
        <v>60763027788</v>
      </c>
      <c r="F5" s="194" t="s">
        <v>464</v>
      </c>
      <c r="G5" s="197">
        <f t="shared" ca="1" si="1"/>
        <v>46020</v>
      </c>
      <c r="H5" s="193">
        <f t="shared" ca="1" si="2"/>
        <v>-15</v>
      </c>
      <c r="I5" s="193" t="str">
        <f t="shared" ca="1" si="0"/>
        <v>EXPIRED</v>
      </c>
    </row>
    <row r="6" spans="1:9">
      <c r="A6" s="193">
        <v>2</v>
      </c>
      <c r="B6" s="194">
        <v>105</v>
      </c>
      <c r="C6" s="195">
        <v>45975</v>
      </c>
      <c r="D6" s="196">
        <v>46036</v>
      </c>
      <c r="E6" s="193">
        <v>768544227</v>
      </c>
      <c r="F6" s="194" t="s">
        <v>465</v>
      </c>
      <c r="G6" s="197">
        <f t="shared" ca="1" si="1"/>
        <v>46020</v>
      </c>
      <c r="H6" s="193">
        <f t="shared" ca="1" si="2"/>
        <v>16</v>
      </c>
      <c r="I6" s="193" t="str">
        <f t="shared" ca="1" si="0"/>
        <v>DUE THIS MONTH</v>
      </c>
    </row>
    <row r="7" spans="1:9">
      <c r="A7" s="193">
        <v>1</v>
      </c>
      <c r="B7" s="194">
        <v>65</v>
      </c>
      <c r="C7" s="195">
        <v>45975</v>
      </c>
      <c r="D7" s="196">
        <v>46005</v>
      </c>
      <c r="E7" s="193">
        <v>772883599</v>
      </c>
      <c r="F7" s="194" t="s">
        <v>466</v>
      </c>
      <c r="G7" s="197">
        <f t="shared" ca="1" si="1"/>
        <v>46020</v>
      </c>
      <c r="H7" s="193">
        <f t="shared" ca="1" si="2"/>
        <v>-15</v>
      </c>
      <c r="I7" s="193" t="str">
        <f t="shared" ca="1" si="0"/>
        <v>EXPIRED</v>
      </c>
    </row>
    <row r="8" spans="1:9">
      <c r="A8" s="193">
        <v>1</v>
      </c>
      <c r="B8" s="194">
        <v>65</v>
      </c>
      <c r="C8" s="195">
        <v>45976</v>
      </c>
      <c r="D8" s="196">
        <v>46006</v>
      </c>
      <c r="E8" s="193">
        <v>774967746</v>
      </c>
      <c r="F8" s="194" t="s">
        <v>467</v>
      </c>
      <c r="G8" s="197">
        <f t="shared" ca="1" si="1"/>
        <v>46020</v>
      </c>
      <c r="H8" s="193">
        <f t="shared" ca="1" si="2"/>
        <v>-14</v>
      </c>
      <c r="I8" s="193" t="str">
        <f t="shared" ca="1" si="0"/>
        <v>EXPIRED</v>
      </c>
    </row>
    <row r="9" spans="1:9">
      <c r="A9" s="193">
        <v>1</v>
      </c>
      <c r="B9" s="194">
        <v>65</v>
      </c>
      <c r="C9" s="195">
        <v>45977</v>
      </c>
      <c r="D9" s="196">
        <v>46007</v>
      </c>
      <c r="E9" s="193">
        <v>777027729</v>
      </c>
      <c r="F9" s="194" t="s">
        <v>468</v>
      </c>
      <c r="G9" s="197">
        <f t="shared" ca="1" si="1"/>
        <v>46020</v>
      </c>
      <c r="H9" s="193">
        <f t="shared" ca="1" si="2"/>
        <v>-13</v>
      </c>
      <c r="I9" s="193" t="str">
        <f t="shared" ca="1" si="0"/>
        <v>EXPIRED</v>
      </c>
    </row>
    <row r="10" spans="1:9">
      <c r="A10" s="193">
        <v>2</v>
      </c>
      <c r="B10" s="194">
        <v>105</v>
      </c>
      <c r="C10" s="195">
        <v>45985</v>
      </c>
      <c r="D10" s="196">
        <v>46046</v>
      </c>
      <c r="E10" s="193">
        <v>970298862</v>
      </c>
      <c r="F10" s="194" t="s">
        <v>469</v>
      </c>
      <c r="G10" s="197">
        <f t="shared" ca="1" si="1"/>
        <v>46020</v>
      </c>
      <c r="H10" s="193">
        <f t="shared" ca="1" si="2"/>
        <v>26</v>
      </c>
      <c r="I10" s="193" t="str">
        <f t="shared" ca="1" si="0"/>
        <v>DUE THIS MONTH</v>
      </c>
    </row>
    <row r="11" spans="1:9">
      <c r="A11" s="193">
        <v>2</v>
      </c>
      <c r="B11" s="194">
        <v>105</v>
      </c>
      <c r="C11" s="195">
        <v>45990</v>
      </c>
      <c r="D11" s="196">
        <v>46082</v>
      </c>
      <c r="E11" s="193">
        <v>571545024</v>
      </c>
      <c r="F11" s="194" t="s">
        <v>470</v>
      </c>
      <c r="G11" s="197">
        <f t="shared" ca="1" si="1"/>
        <v>46020</v>
      </c>
      <c r="H11" s="193">
        <f t="shared" ca="1" si="2"/>
        <v>62</v>
      </c>
      <c r="I11" s="193" t="str">
        <f t="shared" ca="1" si="0"/>
        <v>ACTIVE</v>
      </c>
    </row>
    <row r="12" spans="1:9">
      <c r="A12" s="193">
        <v>2</v>
      </c>
      <c r="B12" s="194">
        <v>105</v>
      </c>
      <c r="C12" s="195">
        <v>45991</v>
      </c>
      <c r="D12" s="199">
        <v>46081</v>
      </c>
      <c r="E12" s="193">
        <v>968055316</v>
      </c>
      <c r="F12" s="194" t="s">
        <v>471</v>
      </c>
      <c r="G12" s="197">
        <f t="shared" ca="1" si="1"/>
        <v>46020</v>
      </c>
      <c r="H12" s="193">
        <f t="shared" ca="1" si="2"/>
        <v>61</v>
      </c>
      <c r="I12" s="193" t="str">
        <f t="shared" ca="1" si="0"/>
        <v>ACTIVE</v>
      </c>
    </row>
    <row r="13" spans="1:9">
      <c r="A13" s="193">
        <v>1</v>
      </c>
      <c r="B13" s="194">
        <v>65</v>
      </c>
      <c r="C13" s="195">
        <v>45997</v>
      </c>
      <c r="D13" s="196">
        <v>46028</v>
      </c>
      <c r="E13" s="193">
        <v>960220245</v>
      </c>
      <c r="F13" s="194" t="s">
        <v>472</v>
      </c>
      <c r="G13" s="197">
        <f t="shared" ca="1" si="1"/>
        <v>46020</v>
      </c>
      <c r="H13" s="193">
        <f t="shared" ca="1" si="2"/>
        <v>8</v>
      </c>
      <c r="I13" s="193" t="str">
        <f t="shared" ca="1" si="0"/>
        <v>DUE THIS MONTH</v>
      </c>
    </row>
    <row r="17" spans="3:6" ht="12.5" customHeight="1">
      <c r="C17" s="224" t="s">
        <v>481</v>
      </c>
      <c r="D17" s="225"/>
      <c r="E17" s="228" t="s">
        <v>382</v>
      </c>
      <c r="F17" s="228" t="s">
        <v>478</v>
      </c>
    </row>
    <row r="18" spans="3:6" ht="12.5" customHeight="1">
      <c r="C18" s="226"/>
      <c r="D18" s="227"/>
      <c r="E18" s="229"/>
      <c r="F18" s="229"/>
    </row>
    <row r="19" spans="3:6">
      <c r="C19" s="193" t="s">
        <v>375</v>
      </c>
      <c r="D19" s="193">
        <v>65</v>
      </c>
      <c r="E19" s="193">
        <v>1</v>
      </c>
      <c r="F19" s="193">
        <v>161</v>
      </c>
    </row>
    <row r="20" spans="3:6">
      <c r="C20" s="193" t="s">
        <v>376</v>
      </c>
      <c r="D20" s="193">
        <v>105</v>
      </c>
      <c r="E20" s="193">
        <v>1</v>
      </c>
      <c r="F20" s="193">
        <v>161</v>
      </c>
    </row>
    <row r="21" spans="3:6">
      <c r="C21" s="193" t="s">
        <v>377</v>
      </c>
      <c r="D21" s="193">
        <v>155</v>
      </c>
      <c r="E21" s="193">
        <v>1</v>
      </c>
      <c r="F21" s="193">
        <v>161</v>
      </c>
    </row>
  </sheetData>
  <autoFilter ref="A1:I1" xr:uid="{BAFEDE1A-0D50-4A83-9BDB-706BE8264250}"/>
  <mergeCells count="3">
    <mergeCell ref="C17:D18"/>
    <mergeCell ref="E17:E18"/>
    <mergeCell ref="F17:F18"/>
  </mergeCells>
  <conditionalFormatting sqref="H1">
    <cfRule type="cellIs" dxfId="11" priority="3" operator="lessThan">
      <formula>1</formula>
    </cfRule>
  </conditionalFormatting>
  <conditionalFormatting sqref="H2:H13">
    <cfRule type="cellIs" dxfId="10" priority="2" operator="lessThan">
      <formula>0</formula>
    </cfRule>
  </conditionalFormatting>
  <conditionalFormatting sqref="I2:I13">
    <cfRule type="cellIs" dxfId="9" priority="1" operator="equal">
      <formula>"EXPIRED"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951C-D15A-407F-BAAB-50C622986A06}">
  <dimension ref="A1:I6"/>
  <sheetViews>
    <sheetView workbookViewId="0">
      <selection sqref="A1:I1"/>
    </sheetView>
  </sheetViews>
  <sheetFormatPr defaultRowHeight="12.5"/>
  <cols>
    <col min="1" max="1" width="20" style="4" bestFit="1" customWidth="1"/>
    <col min="2" max="2" width="13.7265625" style="4" bestFit="1" customWidth="1"/>
    <col min="3" max="3" width="24.26953125" style="4" bestFit="1" customWidth="1"/>
    <col min="4" max="4" width="28.81640625" style="4" bestFit="1" customWidth="1"/>
    <col min="5" max="5" width="21.08984375" style="4" bestFit="1" customWidth="1"/>
    <col min="6" max="6" width="16" style="4" bestFit="1" customWidth="1"/>
    <col min="7" max="7" width="35.6328125" style="4" bestFit="1" customWidth="1"/>
    <col min="8" max="8" width="26.1796875" style="4" bestFit="1" customWidth="1"/>
    <col min="9" max="9" width="20.54296875" style="4" bestFit="1" customWidth="1"/>
    <col min="10" max="16384" width="8.7265625" style="1"/>
  </cols>
  <sheetData>
    <row r="1" spans="1:9" s="113" customFormat="1" ht="82" customHeight="1">
      <c r="A1" s="163" t="s">
        <v>0</v>
      </c>
      <c r="B1" s="163" t="s">
        <v>374</v>
      </c>
      <c r="C1" s="163" t="s">
        <v>2</v>
      </c>
      <c r="D1" s="163" t="s">
        <v>3</v>
      </c>
      <c r="E1" s="163" t="s">
        <v>4</v>
      </c>
      <c r="F1" s="163" t="s">
        <v>5</v>
      </c>
      <c r="G1" s="164" t="s">
        <v>387</v>
      </c>
      <c r="H1" s="163" t="s">
        <v>388</v>
      </c>
      <c r="I1" s="165" t="s">
        <v>390</v>
      </c>
    </row>
    <row r="2" spans="1:9">
      <c r="A2" s="75">
        <v>1</v>
      </c>
      <c r="B2" s="75">
        <v>125</v>
      </c>
      <c r="C2" s="169">
        <v>45960</v>
      </c>
      <c r="D2" s="169">
        <v>45991</v>
      </c>
      <c r="E2" s="75">
        <v>973980290</v>
      </c>
      <c r="F2" s="75" t="s">
        <v>494</v>
      </c>
      <c r="G2" s="148">
        <f ca="1">TODAY()</f>
        <v>46020</v>
      </c>
      <c r="H2" s="5">
        <f ca="1">D2-G2</f>
        <v>-29</v>
      </c>
      <c r="I2" s="75" t="str">
        <f t="shared" ref="I2:I5" ca="1" si="0">IF(H2&lt;=0,"EXPIRED",
IF(H2&lt;=7,"DUE THIS WEEK",
IF(H2&lt;=30,"DUE THIS MONTH","ACTIVE")))</f>
        <v>EXPIRED</v>
      </c>
    </row>
    <row r="3" spans="1:9">
      <c r="A3" s="75">
        <v>1</v>
      </c>
      <c r="B3" s="75">
        <v>125</v>
      </c>
      <c r="C3" s="169">
        <v>45956</v>
      </c>
      <c r="D3" s="169">
        <v>45987</v>
      </c>
      <c r="E3" s="75">
        <v>973821884</v>
      </c>
      <c r="F3" s="75" t="s">
        <v>491</v>
      </c>
      <c r="G3" s="148">
        <f t="shared" ref="G3:G6" ca="1" si="1">TODAY()</f>
        <v>46020</v>
      </c>
      <c r="H3" s="5">
        <f t="shared" ref="H3:H6" ca="1" si="2">D3-G3</f>
        <v>-33</v>
      </c>
      <c r="I3" s="75" t="str">
        <f t="shared" ca="1" si="0"/>
        <v>EXPIRED</v>
      </c>
    </row>
    <row r="4" spans="1:9">
      <c r="A4" s="75">
        <v>1</v>
      </c>
      <c r="B4" s="75">
        <v>125</v>
      </c>
      <c r="C4" s="169">
        <v>45975</v>
      </c>
      <c r="D4" s="169">
        <v>46005</v>
      </c>
      <c r="E4" s="75">
        <v>971157371</v>
      </c>
      <c r="F4" s="75" t="s">
        <v>495</v>
      </c>
      <c r="G4" s="148">
        <f t="shared" ca="1" si="1"/>
        <v>46020</v>
      </c>
      <c r="H4" s="5">
        <f t="shared" ca="1" si="2"/>
        <v>-15</v>
      </c>
      <c r="I4" s="75" t="str">
        <f t="shared" ca="1" si="0"/>
        <v>EXPIRED</v>
      </c>
    </row>
    <row r="5" spans="1:9">
      <c r="A5" s="75">
        <v>1</v>
      </c>
      <c r="B5" s="75">
        <v>125</v>
      </c>
      <c r="C5" s="169">
        <v>45975</v>
      </c>
      <c r="D5" s="169">
        <v>46005</v>
      </c>
      <c r="E5" s="75">
        <v>977961848</v>
      </c>
      <c r="F5" s="75" t="s">
        <v>496</v>
      </c>
      <c r="G5" s="148">
        <f t="shared" ca="1" si="1"/>
        <v>46020</v>
      </c>
      <c r="H5" s="5">
        <f t="shared" ca="1" si="2"/>
        <v>-15</v>
      </c>
      <c r="I5" s="75" t="str">
        <f t="shared" ca="1" si="0"/>
        <v>EXPIRED</v>
      </c>
    </row>
    <row r="6" spans="1:9">
      <c r="A6" s="75">
        <v>3</v>
      </c>
      <c r="B6" s="75">
        <v>235</v>
      </c>
      <c r="C6" s="169">
        <v>45980</v>
      </c>
      <c r="D6" s="169">
        <v>46072</v>
      </c>
      <c r="E6" s="75">
        <v>975850854</v>
      </c>
      <c r="F6" s="75" t="s">
        <v>497</v>
      </c>
      <c r="G6" s="148">
        <f t="shared" ca="1" si="1"/>
        <v>46020</v>
      </c>
      <c r="H6" s="5">
        <f t="shared" ca="1" si="2"/>
        <v>52</v>
      </c>
      <c r="I6" s="75" t="str">
        <f ca="1">IF(H6&lt;=0,"EXPIRED",
IF(H6&lt;=7,"DUE THIS WEEK",
IF(H6&lt;=30,"DUE THIS MONTH","ACTIVE")))</f>
        <v>ACTIVE</v>
      </c>
    </row>
  </sheetData>
  <autoFilter ref="A1:I1" xr:uid="{BE6B951C-D15A-407F-BAAB-50C622986A06}"/>
  <conditionalFormatting sqref="H1">
    <cfRule type="cellIs" dxfId="8" priority="3" operator="lessThan">
      <formula>1</formula>
    </cfRule>
  </conditionalFormatting>
  <conditionalFormatting sqref="H2:H6">
    <cfRule type="cellIs" dxfId="7" priority="2" operator="lessThan">
      <formula>0</formula>
    </cfRule>
  </conditionalFormatting>
  <conditionalFormatting sqref="I2:I6">
    <cfRule type="cellIs" dxfId="6" priority="1" operator="equal">
      <formula>"EXPIRED"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38FB-72AB-4670-ADA9-528E78099E17}">
  <dimension ref="A1:I13"/>
  <sheetViews>
    <sheetView workbookViewId="0">
      <selection activeCell="C1" sqref="C1:I1"/>
    </sheetView>
  </sheetViews>
  <sheetFormatPr defaultRowHeight="12.5"/>
  <cols>
    <col min="1" max="1" width="20" style="4" bestFit="1" customWidth="1"/>
    <col min="2" max="2" width="13.7265625" style="4" bestFit="1" customWidth="1"/>
    <col min="3" max="3" width="24.26953125" style="4" bestFit="1" customWidth="1"/>
    <col min="4" max="4" width="28.81640625" style="4" bestFit="1" customWidth="1"/>
    <col min="5" max="5" width="21.08984375" style="4" bestFit="1" customWidth="1"/>
    <col min="6" max="6" width="16" style="4" bestFit="1" customWidth="1"/>
    <col min="7" max="7" width="35.6328125" style="4" bestFit="1" customWidth="1"/>
    <col min="8" max="8" width="26.1796875" style="4" bestFit="1" customWidth="1"/>
    <col min="9" max="9" width="20.54296875" style="4" bestFit="1" customWidth="1"/>
    <col min="10" max="16384" width="8.7265625" style="1"/>
  </cols>
  <sheetData>
    <row r="1" spans="1:9" s="113" customFormat="1" ht="82" customHeight="1">
      <c r="A1" s="160" t="s">
        <v>0</v>
      </c>
      <c r="B1" s="161" t="s">
        <v>374</v>
      </c>
      <c r="C1" s="160" t="s">
        <v>2</v>
      </c>
      <c r="D1" s="160" t="s">
        <v>3</v>
      </c>
      <c r="E1" s="160" t="s">
        <v>4</v>
      </c>
      <c r="F1" s="149" t="s">
        <v>5</v>
      </c>
      <c r="G1" s="162" t="s">
        <v>387</v>
      </c>
      <c r="H1" s="160" t="s">
        <v>388</v>
      </c>
      <c r="I1" s="160" t="s">
        <v>390</v>
      </c>
    </row>
    <row r="2" spans="1:9">
      <c r="A2" s="75">
        <v>1</v>
      </c>
      <c r="B2" s="75">
        <v>70</v>
      </c>
      <c r="C2" s="150">
        <v>45871</v>
      </c>
      <c r="D2" s="150">
        <v>45932</v>
      </c>
      <c r="E2" s="151">
        <v>760880782</v>
      </c>
      <c r="F2" s="152" t="s">
        <v>482</v>
      </c>
      <c r="G2" s="153">
        <f ca="1">TODAY()</f>
        <v>46020</v>
      </c>
      <c r="H2" s="75">
        <f ca="1">D2-G2</f>
        <v>-88</v>
      </c>
      <c r="I2" s="75" t="str">
        <f ca="1">IF(H2&lt;=0, "EXPIRED",
 IF(H2&lt;=7, "DUE THIS WEEK",
 IF(H2&lt;=30, "DUE THIS MONTH", "ACTIVE")))</f>
        <v>EXPIRED</v>
      </c>
    </row>
    <row r="3" spans="1:9">
      <c r="A3" s="75">
        <v>2</v>
      </c>
      <c r="B3" s="75">
        <v>200</v>
      </c>
      <c r="C3" s="150">
        <v>45881</v>
      </c>
      <c r="D3" s="150">
        <v>45942</v>
      </c>
      <c r="E3" s="154">
        <v>978902466</v>
      </c>
      <c r="F3" s="152" t="s">
        <v>483</v>
      </c>
      <c r="G3" s="153">
        <f t="shared" ref="G3:G13" ca="1" si="0">TODAY()</f>
        <v>46020</v>
      </c>
      <c r="H3" s="75">
        <f t="shared" ref="H3:H13" ca="1" si="1">D3-G3</f>
        <v>-78</v>
      </c>
      <c r="I3" s="75" t="str">
        <f t="shared" ref="I3:I13" ca="1" si="2">IF(H3&lt;=0, "EXPIRED",
 IF(H3&lt;=7, "DUE THIS WEEK",
 IF(H3&lt;=30, "DUE THIS MONTH", "ACTIVE")))</f>
        <v>EXPIRED</v>
      </c>
    </row>
    <row r="4" spans="1:9" ht="12.5" customHeight="1">
      <c r="A4" s="75">
        <v>1</v>
      </c>
      <c r="B4" s="75">
        <v>70</v>
      </c>
      <c r="C4" s="155" t="s">
        <v>492</v>
      </c>
      <c r="D4" s="156">
        <v>45985</v>
      </c>
      <c r="E4" s="151">
        <v>260771944694</v>
      </c>
      <c r="F4" s="155" t="s">
        <v>493</v>
      </c>
      <c r="G4" s="153">
        <f t="shared" ca="1" si="0"/>
        <v>46020</v>
      </c>
      <c r="H4" s="159">
        <f ca="1">D4-G4</f>
        <v>-35</v>
      </c>
      <c r="I4" s="75" t="str">
        <f t="shared" ca="1" si="2"/>
        <v>EXPIRED</v>
      </c>
    </row>
    <row r="5" spans="1:9">
      <c r="A5" s="75">
        <v>1</v>
      </c>
      <c r="B5" s="75">
        <v>70</v>
      </c>
      <c r="C5" s="156">
        <v>45954</v>
      </c>
      <c r="D5" s="156">
        <v>45985</v>
      </c>
      <c r="E5" s="154">
        <v>974574317</v>
      </c>
      <c r="F5" s="158" t="s">
        <v>272</v>
      </c>
      <c r="G5" s="153">
        <f t="shared" ca="1" si="0"/>
        <v>46020</v>
      </c>
      <c r="H5" s="75">
        <f t="shared" ca="1" si="1"/>
        <v>-35</v>
      </c>
      <c r="I5" s="75" t="str">
        <f t="shared" ca="1" si="2"/>
        <v>EXPIRED</v>
      </c>
    </row>
    <row r="6" spans="1:9">
      <c r="A6" s="75">
        <v>1</v>
      </c>
      <c r="B6" s="75">
        <v>70</v>
      </c>
      <c r="C6" s="150">
        <v>45896</v>
      </c>
      <c r="D6" s="150">
        <v>45927</v>
      </c>
      <c r="E6" s="151">
        <v>777184558</v>
      </c>
      <c r="F6" s="152" t="s">
        <v>484</v>
      </c>
      <c r="G6" s="153">
        <f t="shared" ca="1" si="0"/>
        <v>46020</v>
      </c>
      <c r="H6" s="75">
        <f t="shared" ca="1" si="1"/>
        <v>-93</v>
      </c>
      <c r="I6" s="75" t="str">
        <f t="shared" ca="1" si="2"/>
        <v>EXPIRED</v>
      </c>
    </row>
    <row r="7" spans="1:9">
      <c r="A7" s="75">
        <v>1</v>
      </c>
      <c r="B7" s="75">
        <v>70</v>
      </c>
      <c r="C7" s="150">
        <v>45910</v>
      </c>
      <c r="D7" s="150">
        <v>45940</v>
      </c>
      <c r="E7" s="154">
        <v>970839563</v>
      </c>
      <c r="F7" s="152" t="s">
        <v>485</v>
      </c>
      <c r="G7" s="153">
        <f t="shared" ca="1" si="0"/>
        <v>46020</v>
      </c>
      <c r="H7" s="75">
        <f t="shared" ca="1" si="1"/>
        <v>-80</v>
      </c>
      <c r="I7" s="75" t="str">
        <f t="shared" ca="1" si="2"/>
        <v>EXPIRED</v>
      </c>
    </row>
    <row r="8" spans="1:9">
      <c r="A8" s="75">
        <v>1</v>
      </c>
      <c r="B8" s="75">
        <v>70</v>
      </c>
      <c r="C8" s="148">
        <v>45910</v>
      </c>
      <c r="D8" s="148">
        <v>45940</v>
      </c>
      <c r="E8" s="151">
        <v>973821884</v>
      </c>
      <c r="F8" s="152" t="s">
        <v>491</v>
      </c>
      <c r="G8" s="153">
        <f t="shared" ca="1" si="0"/>
        <v>46020</v>
      </c>
      <c r="H8" s="75">
        <f t="shared" ca="1" si="1"/>
        <v>-80</v>
      </c>
      <c r="I8" s="75" t="str">
        <f t="shared" ca="1" si="2"/>
        <v>EXPIRED</v>
      </c>
    </row>
    <row r="9" spans="1:9">
      <c r="A9" s="75">
        <v>1</v>
      </c>
      <c r="B9" s="75">
        <v>70</v>
      </c>
      <c r="C9" s="148">
        <v>45910</v>
      </c>
      <c r="D9" s="148">
        <v>45940</v>
      </c>
      <c r="E9" s="151">
        <v>974562666</v>
      </c>
      <c r="F9" s="152" t="s">
        <v>89</v>
      </c>
      <c r="G9" s="153">
        <f t="shared" ca="1" si="0"/>
        <v>46020</v>
      </c>
      <c r="H9" s="75">
        <f t="shared" ca="1" si="1"/>
        <v>-80</v>
      </c>
      <c r="I9" s="75" t="str">
        <f t="shared" ca="1" si="2"/>
        <v>EXPIRED</v>
      </c>
    </row>
    <row r="10" spans="1:9">
      <c r="A10" s="75">
        <v>1</v>
      </c>
      <c r="B10" s="75">
        <v>70</v>
      </c>
      <c r="C10" s="150">
        <v>45910</v>
      </c>
      <c r="D10" s="150">
        <v>45940</v>
      </c>
      <c r="E10" s="151">
        <v>260770969579</v>
      </c>
      <c r="F10" s="152" t="s">
        <v>486</v>
      </c>
      <c r="G10" s="153">
        <f t="shared" ca="1" si="0"/>
        <v>46020</v>
      </c>
      <c r="H10" s="75">
        <f t="shared" ca="1" si="1"/>
        <v>-80</v>
      </c>
      <c r="I10" s="75" t="str">
        <f t="shared" ca="1" si="2"/>
        <v>EXPIRED</v>
      </c>
    </row>
    <row r="11" spans="1:9">
      <c r="A11" s="75">
        <v>1</v>
      </c>
      <c r="B11" s="75">
        <v>70</v>
      </c>
      <c r="C11" s="150">
        <v>45932</v>
      </c>
      <c r="D11" s="150">
        <v>45963</v>
      </c>
      <c r="E11" s="151">
        <v>260772734094</v>
      </c>
      <c r="F11" s="152" t="s">
        <v>487</v>
      </c>
      <c r="G11" s="153">
        <f t="shared" ca="1" si="0"/>
        <v>46020</v>
      </c>
      <c r="H11" s="75">
        <f t="shared" ca="1" si="1"/>
        <v>-57</v>
      </c>
      <c r="I11" s="75" t="str">
        <f t="shared" ca="1" si="2"/>
        <v>EXPIRED</v>
      </c>
    </row>
    <row r="12" spans="1:9" ht="16" customHeight="1">
      <c r="A12" s="75">
        <v>1</v>
      </c>
      <c r="B12" s="75">
        <v>70</v>
      </c>
      <c r="C12" s="148">
        <v>45972</v>
      </c>
      <c r="D12" s="148">
        <v>46002</v>
      </c>
      <c r="E12" s="157" t="s">
        <v>490</v>
      </c>
      <c r="F12" s="155" t="s">
        <v>488</v>
      </c>
      <c r="G12" s="153">
        <f t="shared" ca="1" si="0"/>
        <v>46020</v>
      </c>
      <c r="H12" s="75">
        <f t="shared" ca="1" si="1"/>
        <v>-18</v>
      </c>
      <c r="I12" s="75" t="str">
        <f t="shared" ca="1" si="2"/>
        <v>EXPIRED</v>
      </c>
    </row>
    <row r="13" spans="1:9">
      <c r="A13" s="75">
        <v>1</v>
      </c>
      <c r="B13" s="75">
        <v>70</v>
      </c>
      <c r="C13" s="148">
        <v>45985</v>
      </c>
      <c r="D13" s="148">
        <v>46015</v>
      </c>
      <c r="E13" s="75">
        <v>773740049</v>
      </c>
      <c r="F13" s="155" t="s">
        <v>489</v>
      </c>
      <c r="G13" s="153">
        <f t="shared" ca="1" si="0"/>
        <v>46020</v>
      </c>
      <c r="H13" s="75">
        <f t="shared" ca="1" si="1"/>
        <v>-5</v>
      </c>
      <c r="I13" s="75" t="str">
        <f t="shared" ca="1" si="2"/>
        <v>EXPIRED</v>
      </c>
    </row>
  </sheetData>
  <autoFilter ref="C1:I1" xr:uid="{DF9F38FB-72AB-4670-ADA9-528E78099E17}"/>
  <conditionalFormatting sqref="H2:H13">
    <cfRule type="cellIs" dxfId="5" priority="1" operator="lessThan">
      <formula>0</formula>
    </cfRule>
  </conditionalFormatting>
  <conditionalFormatting sqref="H1:I1">
    <cfRule type="cellIs" dxfId="4" priority="3" operator="lessThan">
      <formula>1</formula>
    </cfRule>
  </conditionalFormatting>
  <conditionalFormatting sqref="I2:I13">
    <cfRule type="cellIs" dxfId="3" priority="2" operator="equal">
      <formula>"EXPIRED"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63E4-58D2-4258-AA14-42AF7F6B0CE9}">
  <sheetPr>
    <tabColor theme="6" tint="0.39997558519241921"/>
  </sheetPr>
  <dimension ref="A1:J51"/>
  <sheetViews>
    <sheetView zoomScale="54" workbookViewId="0">
      <selection activeCell="K2" sqref="K2"/>
    </sheetView>
  </sheetViews>
  <sheetFormatPr defaultRowHeight="32.5"/>
  <cols>
    <col min="1" max="1" width="20.26953125" style="143" bestFit="1" customWidth="1"/>
    <col min="2" max="2" width="13.90625" style="143" bestFit="1" customWidth="1"/>
    <col min="3" max="3" width="23.6328125" style="143" bestFit="1" customWidth="1"/>
    <col min="4" max="4" width="28" style="143" bestFit="1" customWidth="1"/>
    <col min="5" max="5" width="29.54296875" style="143" bestFit="1" customWidth="1"/>
    <col min="6" max="6" width="39.26953125" style="143" bestFit="1" customWidth="1"/>
    <col min="7" max="7" width="58" style="143" bestFit="1" customWidth="1"/>
    <col min="8" max="8" width="35.81640625" style="143" bestFit="1" customWidth="1"/>
    <col min="9" max="9" width="26.36328125" style="122" bestFit="1" customWidth="1"/>
    <col min="10" max="10" width="43.1796875" style="122" bestFit="1" customWidth="1"/>
    <col min="11" max="16384" width="8.7265625" style="122"/>
  </cols>
  <sheetData>
    <row r="1" spans="1:10" s="113" customFormat="1" ht="82" customHeight="1">
      <c r="A1" s="108" t="s">
        <v>0</v>
      </c>
      <c r="B1" s="109" t="s">
        <v>374</v>
      </c>
      <c r="C1" s="108" t="s">
        <v>1</v>
      </c>
      <c r="D1" s="108" t="s">
        <v>2</v>
      </c>
      <c r="E1" s="108" t="s">
        <v>3</v>
      </c>
      <c r="F1" s="108" t="s">
        <v>4</v>
      </c>
      <c r="G1" s="108" t="s">
        <v>5</v>
      </c>
      <c r="H1" s="110" t="s">
        <v>387</v>
      </c>
      <c r="I1" s="111" t="s">
        <v>388</v>
      </c>
      <c r="J1" s="112" t="s">
        <v>390</v>
      </c>
    </row>
    <row r="2" spans="1:10" ht="33">
      <c r="A2" s="114">
        <v>1</v>
      </c>
      <c r="B2" s="115">
        <f>VLOOKUP(A2, COSTS!$I$7:$J$13, 2, FALSE)</f>
        <v>32</v>
      </c>
      <c r="C2" s="114" t="s">
        <v>58</v>
      </c>
      <c r="D2" s="116">
        <v>45990</v>
      </c>
      <c r="E2" s="116">
        <v>46020</v>
      </c>
      <c r="F2" s="117">
        <v>964668081</v>
      </c>
      <c r="G2" s="118" t="s">
        <v>59</v>
      </c>
      <c r="H2" s="119">
        <f t="shared" ref="H2:H33" ca="1" si="0">NOW()</f>
        <v>46020.437982060183</v>
      </c>
      <c r="I2" s="120">
        <f t="shared" ref="I2:I33" ca="1" si="1">E2-H2</f>
        <v>-0.43798206018254859</v>
      </c>
      <c r="J2" s="121" t="str">
        <f ca="1">IF(I2&lt;=0,"EXPIRED",
IF(I2&lt;=7,"DUE THIS WEEK",
IF(H2&lt;=30,"DUE THIS MONTH","ACTIVE")))</f>
        <v>EXPIRED</v>
      </c>
    </row>
    <row r="3" spans="1:10" ht="33">
      <c r="A3" s="123">
        <v>1</v>
      </c>
      <c r="B3" s="115">
        <f>VLOOKUP(A3, COSTS!$I$7:$J$13, 2, FALSE)</f>
        <v>32</v>
      </c>
      <c r="C3" s="123" t="s">
        <v>183</v>
      </c>
      <c r="D3" s="124">
        <v>45990</v>
      </c>
      <c r="E3" s="124">
        <v>46020</v>
      </c>
      <c r="F3" s="125">
        <v>957985331</v>
      </c>
      <c r="G3" s="125" t="s">
        <v>211</v>
      </c>
      <c r="H3" s="119">
        <f t="shared" ca="1" si="0"/>
        <v>46020.437982060183</v>
      </c>
      <c r="I3" s="120">
        <f t="shared" ca="1" si="1"/>
        <v>-0.43798206018254859</v>
      </c>
      <c r="J3" s="121" t="str">
        <f t="shared" ref="J3:J33" ca="1" si="2">IF(I3&lt;=0, "EXPIRED",
 IF(I3&lt;=7, "DUE THIS WEEK",
 IF(I3&lt;=30, "DUE THIS MONTH", "ACTIVE")))</f>
        <v>EXPIRED</v>
      </c>
    </row>
    <row r="4" spans="1:10">
      <c r="A4" s="126">
        <v>1</v>
      </c>
      <c r="B4" s="115">
        <f>VLOOKUP(A4, COSTS!$I$7:$J$13, 2, FALSE)</f>
        <v>32</v>
      </c>
      <c r="C4" s="126" t="s">
        <v>58</v>
      </c>
      <c r="D4" s="127">
        <v>45990</v>
      </c>
      <c r="E4" s="128">
        <v>46020</v>
      </c>
      <c r="F4" s="118">
        <v>978490644</v>
      </c>
      <c r="G4" s="118" t="s">
        <v>296</v>
      </c>
      <c r="H4" s="119">
        <f t="shared" ca="1" si="0"/>
        <v>46020.437982060183</v>
      </c>
      <c r="I4" s="120">
        <f t="shared" ca="1" si="1"/>
        <v>-0.43798206018254859</v>
      </c>
      <c r="J4" s="121" t="str">
        <f t="shared" ca="1" si="2"/>
        <v>EXPIRED</v>
      </c>
    </row>
    <row r="5" spans="1:10">
      <c r="A5" s="126">
        <v>1</v>
      </c>
      <c r="B5" s="115">
        <f>VLOOKUP(A5, COSTS!$I$7:$J$13, 2, FALSE)</f>
        <v>32</v>
      </c>
      <c r="C5" s="126" t="s">
        <v>19</v>
      </c>
      <c r="D5" s="127">
        <v>45990</v>
      </c>
      <c r="E5" s="128">
        <v>46020</v>
      </c>
      <c r="F5" s="118" t="s">
        <v>324</v>
      </c>
      <c r="G5" s="118" t="s">
        <v>325</v>
      </c>
      <c r="H5" s="119">
        <f t="shared" ca="1" si="0"/>
        <v>46020.437982060183</v>
      </c>
      <c r="I5" s="120">
        <f t="shared" ca="1" si="1"/>
        <v>-0.43798206018254859</v>
      </c>
      <c r="J5" s="121" t="str">
        <f t="shared" ca="1" si="2"/>
        <v>EXPIRED</v>
      </c>
    </row>
    <row r="6" spans="1:10">
      <c r="A6" s="126">
        <v>1</v>
      </c>
      <c r="B6" s="115">
        <f>VLOOKUP(A6, COSTS!$I$7:$J$13, 2, FALSE)</f>
        <v>32</v>
      </c>
      <c r="C6" s="126" t="s">
        <v>234</v>
      </c>
      <c r="D6" s="127">
        <v>45989</v>
      </c>
      <c r="E6" s="128">
        <v>46019</v>
      </c>
      <c r="F6" s="118">
        <v>767070164</v>
      </c>
      <c r="G6" s="118" t="s">
        <v>326</v>
      </c>
      <c r="H6" s="119">
        <f t="shared" ca="1" si="0"/>
        <v>46020.437982060183</v>
      </c>
      <c r="I6" s="120">
        <f t="shared" ca="1" si="1"/>
        <v>-1.4379820601825486</v>
      </c>
      <c r="J6" s="121" t="str">
        <f t="shared" ca="1" si="2"/>
        <v>EXPIRED</v>
      </c>
    </row>
    <row r="7" spans="1:10" ht="33">
      <c r="A7" s="123">
        <v>3</v>
      </c>
      <c r="B7" s="115">
        <f>VLOOKUP(A7, COSTS!$I$7:$J$13, 2, FALSE)</f>
        <v>100</v>
      </c>
      <c r="C7" s="129"/>
      <c r="D7" s="124">
        <v>45989</v>
      </c>
      <c r="E7" s="124">
        <v>46081</v>
      </c>
      <c r="F7" s="125">
        <v>978478417</v>
      </c>
      <c r="G7" s="125" t="s">
        <v>171</v>
      </c>
      <c r="H7" s="119">
        <f t="shared" ca="1" si="0"/>
        <v>46020.437982060183</v>
      </c>
      <c r="I7" s="120">
        <f t="shared" ca="1" si="1"/>
        <v>60.562017939817451</v>
      </c>
      <c r="J7" s="121" t="str">
        <f t="shared" ca="1" si="2"/>
        <v>ACTIVE</v>
      </c>
    </row>
    <row r="8" spans="1:10">
      <c r="A8" s="130">
        <v>3</v>
      </c>
      <c r="B8" s="115">
        <f>VLOOKUP(A8, COSTS!$I$7:$J$13, 2, FALSE)</f>
        <v>100</v>
      </c>
      <c r="C8" s="130" t="s">
        <v>183</v>
      </c>
      <c r="D8" s="131">
        <v>45989</v>
      </c>
      <c r="E8" s="132">
        <v>46081</v>
      </c>
      <c r="F8" s="133" t="s">
        <v>193</v>
      </c>
      <c r="G8" s="133" t="s">
        <v>194</v>
      </c>
      <c r="H8" s="119">
        <f t="shared" ca="1" si="0"/>
        <v>46020.437982060183</v>
      </c>
      <c r="I8" s="120">
        <f t="shared" ca="1" si="1"/>
        <v>60.562017939817451</v>
      </c>
      <c r="J8" s="121" t="str">
        <f t="shared" ca="1" si="2"/>
        <v>ACTIVE</v>
      </c>
    </row>
    <row r="9" spans="1:10" ht="33">
      <c r="A9" s="123">
        <v>2</v>
      </c>
      <c r="B9" s="115">
        <f>VLOOKUP(A9, COSTS!$I$7:$J$13, 2, FALSE)</f>
        <v>65</v>
      </c>
      <c r="C9" s="123" t="s">
        <v>11</v>
      </c>
      <c r="D9" s="124">
        <v>45989</v>
      </c>
      <c r="E9" s="124">
        <v>46050</v>
      </c>
      <c r="F9" s="125" t="s">
        <v>12</v>
      </c>
      <c r="G9" s="125" t="s">
        <v>13</v>
      </c>
      <c r="H9" s="119">
        <f t="shared" ca="1" si="0"/>
        <v>46020.437982060183</v>
      </c>
      <c r="I9" s="120">
        <f t="shared" ca="1" si="1"/>
        <v>29.562017939817451</v>
      </c>
      <c r="J9" s="121" t="str">
        <f t="shared" ca="1" si="2"/>
        <v>DUE THIS MONTH</v>
      </c>
    </row>
    <row r="10" spans="1:10" ht="33">
      <c r="A10" s="114">
        <v>2</v>
      </c>
      <c r="B10" s="115">
        <f>VLOOKUP(A10, COSTS!$I$7:$J$13, 2, FALSE)</f>
        <v>65</v>
      </c>
      <c r="C10" s="114"/>
      <c r="D10" s="116">
        <v>45989</v>
      </c>
      <c r="E10" s="116">
        <v>46050</v>
      </c>
      <c r="F10" s="117">
        <v>961817836</v>
      </c>
      <c r="G10" s="117" t="s">
        <v>192</v>
      </c>
      <c r="H10" s="119">
        <f t="shared" ca="1" si="0"/>
        <v>46020.437982060183</v>
      </c>
      <c r="I10" s="120">
        <f t="shared" ca="1" si="1"/>
        <v>29.562017939817451</v>
      </c>
      <c r="J10" s="121" t="str">
        <f t="shared" ca="1" si="2"/>
        <v>DUE THIS MONTH</v>
      </c>
    </row>
    <row r="11" spans="1:10">
      <c r="A11" s="134">
        <v>12</v>
      </c>
      <c r="B11" s="115">
        <f>VLOOKUP(A11, COSTS!$I$7:$J$13, 2, FALSE)</f>
        <v>225</v>
      </c>
      <c r="C11" s="134" t="s">
        <v>197</v>
      </c>
      <c r="D11" s="135">
        <v>45988</v>
      </c>
      <c r="E11" s="135">
        <v>46353</v>
      </c>
      <c r="F11" s="136">
        <v>973208399</v>
      </c>
      <c r="G11" s="136" t="s">
        <v>198</v>
      </c>
      <c r="H11" s="119">
        <f t="shared" ca="1" si="0"/>
        <v>46020.437982060183</v>
      </c>
      <c r="I11" s="120">
        <f t="shared" ca="1" si="1"/>
        <v>332.56201793981745</v>
      </c>
      <c r="J11" s="121" t="str">
        <f t="shared" ca="1" si="2"/>
        <v>ACTIVE</v>
      </c>
    </row>
    <row r="12" spans="1:10" ht="33">
      <c r="A12" s="114">
        <v>2</v>
      </c>
      <c r="B12" s="115">
        <f>VLOOKUP(A12, COSTS!$I$7:$J$13, 2, FALSE)</f>
        <v>65</v>
      </c>
      <c r="C12" s="114" t="s">
        <v>6</v>
      </c>
      <c r="D12" s="116">
        <v>45988</v>
      </c>
      <c r="E12" s="116">
        <v>46049</v>
      </c>
      <c r="F12" s="117" t="s">
        <v>152</v>
      </c>
      <c r="G12" s="117" t="s">
        <v>153</v>
      </c>
      <c r="H12" s="119">
        <f t="shared" ca="1" si="0"/>
        <v>46020.437982060183</v>
      </c>
      <c r="I12" s="120">
        <f t="shared" ca="1" si="1"/>
        <v>28.562017939817451</v>
      </c>
      <c r="J12" s="121" t="str">
        <f t="shared" ca="1" si="2"/>
        <v>DUE THIS MONTH</v>
      </c>
    </row>
    <row r="13" spans="1:10" ht="33">
      <c r="A13" s="114">
        <v>1</v>
      </c>
      <c r="B13" s="115">
        <f>VLOOKUP(A13, COSTS!$I$7:$J$13, 2, FALSE)</f>
        <v>32</v>
      </c>
      <c r="C13" s="134" t="s">
        <v>28</v>
      </c>
      <c r="D13" s="137">
        <v>45988</v>
      </c>
      <c r="E13" s="116">
        <v>46018</v>
      </c>
      <c r="F13" s="117">
        <v>260776149435</v>
      </c>
      <c r="G13" s="117" t="s">
        <v>29</v>
      </c>
      <c r="H13" s="119">
        <f t="shared" ca="1" si="0"/>
        <v>46020.437982060183</v>
      </c>
      <c r="I13" s="120">
        <f t="shared" ca="1" si="1"/>
        <v>-2.4379820601825486</v>
      </c>
      <c r="J13" s="121" t="str">
        <f t="shared" ca="1" si="2"/>
        <v>EXPIRED</v>
      </c>
    </row>
    <row r="14" spans="1:10" ht="33">
      <c r="A14" s="123">
        <v>1</v>
      </c>
      <c r="B14" s="115">
        <f>VLOOKUP(A14, COSTS!$I$7:$J$13, 2, FALSE)</f>
        <v>32</v>
      </c>
      <c r="C14" s="123" t="s">
        <v>114</v>
      </c>
      <c r="D14" s="124">
        <v>45987</v>
      </c>
      <c r="E14" s="124">
        <v>46017</v>
      </c>
      <c r="F14" s="125">
        <v>960161606</v>
      </c>
      <c r="G14" s="125" t="s">
        <v>166</v>
      </c>
      <c r="H14" s="119">
        <f t="shared" ca="1" si="0"/>
        <v>46020.437982060183</v>
      </c>
      <c r="I14" s="120">
        <f t="shared" ca="1" si="1"/>
        <v>-3.4379820601825486</v>
      </c>
      <c r="J14" s="121" t="str">
        <f t="shared" ca="1" si="2"/>
        <v>EXPIRED</v>
      </c>
    </row>
    <row r="15" spans="1:10">
      <c r="A15" s="130">
        <v>1</v>
      </c>
      <c r="B15" s="115">
        <f>VLOOKUP(A15, COSTS!$I$7:$J$13, 2, FALSE)</f>
        <v>32</v>
      </c>
      <c r="C15" s="130" t="s">
        <v>70</v>
      </c>
      <c r="D15" s="131">
        <v>45987</v>
      </c>
      <c r="E15" s="131">
        <v>46017</v>
      </c>
      <c r="F15" s="133">
        <f>260770773549</f>
        <v>260770773549</v>
      </c>
      <c r="G15" s="133" t="s">
        <v>173</v>
      </c>
      <c r="H15" s="119">
        <f t="shared" ca="1" si="0"/>
        <v>46020.437982060183</v>
      </c>
      <c r="I15" s="120">
        <f t="shared" ca="1" si="1"/>
        <v>-3.4379820601825486</v>
      </c>
      <c r="J15" s="121" t="str">
        <f t="shared" ca="1" si="2"/>
        <v>EXPIRED</v>
      </c>
    </row>
    <row r="16" spans="1:10" ht="33">
      <c r="A16" s="114">
        <v>2</v>
      </c>
      <c r="B16" s="115">
        <f>VLOOKUP(A16, COSTS!$I$7:$J$13, 2, FALSE)</f>
        <v>65</v>
      </c>
      <c r="C16" s="134" t="s">
        <v>114</v>
      </c>
      <c r="D16" s="116">
        <v>45986</v>
      </c>
      <c r="E16" s="116">
        <v>46047</v>
      </c>
      <c r="F16" s="117">
        <v>972371009</v>
      </c>
      <c r="G16" s="117" t="s">
        <v>115</v>
      </c>
      <c r="H16" s="119">
        <f t="shared" ca="1" si="0"/>
        <v>46020.437982060183</v>
      </c>
      <c r="I16" s="120">
        <f t="shared" ca="1" si="1"/>
        <v>26.562017939817451</v>
      </c>
      <c r="J16" s="121" t="str">
        <f t="shared" ca="1" si="2"/>
        <v>DUE THIS MONTH</v>
      </c>
    </row>
    <row r="17" spans="1:10">
      <c r="A17" s="130">
        <v>2</v>
      </c>
      <c r="B17" s="115">
        <f>VLOOKUP(A17, COSTS!$I$7:$J$13, 2, FALSE)</f>
        <v>65</v>
      </c>
      <c r="C17" s="130" t="s">
        <v>143</v>
      </c>
      <c r="D17" s="131">
        <v>45986</v>
      </c>
      <c r="E17" s="131">
        <v>46047</v>
      </c>
      <c r="F17" s="133">
        <v>771993800</v>
      </c>
      <c r="G17" s="133" t="s">
        <v>144</v>
      </c>
      <c r="H17" s="119">
        <f t="shared" ca="1" si="0"/>
        <v>46020.437982060183</v>
      </c>
      <c r="I17" s="120">
        <f t="shared" ca="1" si="1"/>
        <v>26.562017939817451</v>
      </c>
      <c r="J17" s="121" t="str">
        <f t="shared" ca="1" si="2"/>
        <v>DUE THIS MONTH</v>
      </c>
    </row>
    <row r="18" spans="1:10">
      <c r="A18" s="118">
        <v>2</v>
      </c>
      <c r="B18" s="115">
        <f>VLOOKUP(A18, COSTS!$I$7:$J$13, 2, FALSE)</f>
        <v>65</v>
      </c>
      <c r="C18" s="118" t="s">
        <v>371</v>
      </c>
      <c r="D18" s="128">
        <v>45985</v>
      </c>
      <c r="E18" s="127">
        <v>46077</v>
      </c>
      <c r="F18" s="118">
        <v>975741666</v>
      </c>
      <c r="G18" s="118" t="s">
        <v>372</v>
      </c>
      <c r="H18" s="119">
        <f t="shared" ca="1" si="0"/>
        <v>46020.437982060183</v>
      </c>
      <c r="I18" s="120">
        <f t="shared" ca="1" si="1"/>
        <v>56.562017939817451</v>
      </c>
      <c r="J18" s="121" t="str">
        <f t="shared" ca="1" si="2"/>
        <v>ACTIVE</v>
      </c>
    </row>
    <row r="19" spans="1:10" ht="33">
      <c r="A19" s="123">
        <v>2</v>
      </c>
      <c r="B19" s="115">
        <f>VLOOKUP(A19, COSTS!$I$7:$J$13, 2, FALSE)</f>
        <v>65</v>
      </c>
      <c r="C19" s="123" t="s">
        <v>99</v>
      </c>
      <c r="D19" s="124">
        <v>45985</v>
      </c>
      <c r="E19" s="124">
        <v>46046</v>
      </c>
      <c r="F19" s="125" t="s">
        <v>100</v>
      </c>
      <c r="G19" s="125" t="s">
        <v>101</v>
      </c>
      <c r="H19" s="119">
        <f t="shared" ca="1" si="0"/>
        <v>46020.437982060183</v>
      </c>
      <c r="I19" s="120">
        <f t="shared" ca="1" si="1"/>
        <v>25.562017939817451</v>
      </c>
      <c r="J19" s="121" t="str">
        <f t="shared" ca="1" si="2"/>
        <v>DUE THIS MONTH</v>
      </c>
    </row>
    <row r="20" spans="1:10">
      <c r="A20" s="126">
        <v>2</v>
      </c>
      <c r="B20" s="115">
        <f>VLOOKUP(A20, COSTS!$I$7:$J$13, 2, FALSE)</f>
        <v>65</v>
      </c>
      <c r="C20" s="126"/>
      <c r="D20" s="127">
        <v>45985</v>
      </c>
      <c r="E20" s="127">
        <v>46046</v>
      </c>
      <c r="F20" s="118">
        <v>973724846</v>
      </c>
      <c r="G20" s="118" t="s">
        <v>293</v>
      </c>
      <c r="H20" s="119">
        <f t="shared" ca="1" si="0"/>
        <v>46020.437982060183</v>
      </c>
      <c r="I20" s="120">
        <f t="shared" ca="1" si="1"/>
        <v>25.562017939817451</v>
      </c>
      <c r="J20" s="121" t="str">
        <f t="shared" ca="1" si="2"/>
        <v>DUE THIS MONTH</v>
      </c>
    </row>
    <row r="21" spans="1:10">
      <c r="A21" s="118">
        <v>3</v>
      </c>
      <c r="B21" s="115">
        <f>VLOOKUP(A21, COSTS!$I$7:$J$13, 2, FALSE)</f>
        <v>100</v>
      </c>
      <c r="C21" s="118" t="s">
        <v>92</v>
      </c>
      <c r="D21" s="128">
        <v>45984</v>
      </c>
      <c r="E21" s="127">
        <v>46076</v>
      </c>
      <c r="F21" s="118">
        <v>776552506</v>
      </c>
      <c r="G21" s="118" t="s">
        <v>370</v>
      </c>
      <c r="H21" s="119">
        <f t="shared" ca="1" si="0"/>
        <v>46020.437982060183</v>
      </c>
      <c r="I21" s="120">
        <f t="shared" ca="1" si="1"/>
        <v>55.562017939817451</v>
      </c>
      <c r="J21" s="121" t="str">
        <f t="shared" ca="1" si="2"/>
        <v>ACTIVE</v>
      </c>
    </row>
    <row r="22" spans="1:10" ht="33">
      <c r="A22" s="123">
        <v>2</v>
      </c>
      <c r="B22" s="115">
        <f>VLOOKUP(A22, COSTS!$I$7:$J$13, 2, FALSE)</f>
        <v>65</v>
      </c>
      <c r="C22" s="123" t="s">
        <v>74</v>
      </c>
      <c r="D22" s="124">
        <v>45984</v>
      </c>
      <c r="E22" s="124">
        <v>46045</v>
      </c>
      <c r="F22" s="125">
        <v>954049056</v>
      </c>
      <c r="G22" s="125" t="s">
        <v>75</v>
      </c>
      <c r="H22" s="119">
        <f t="shared" ca="1" si="0"/>
        <v>46020.437982060183</v>
      </c>
      <c r="I22" s="120">
        <f t="shared" ca="1" si="1"/>
        <v>24.562017939817451</v>
      </c>
      <c r="J22" s="121" t="str">
        <f t="shared" ca="1" si="2"/>
        <v>DUE THIS MONTH</v>
      </c>
    </row>
    <row r="23" spans="1:10">
      <c r="A23" s="126">
        <v>1</v>
      </c>
      <c r="B23" s="115">
        <f>VLOOKUP(A23, COSTS!$I$7:$J$13, 2, FALSE)</f>
        <v>32</v>
      </c>
      <c r="C23" s="126" t="s">
        <v>319</v>
      </c>
      <c r="D23" s="127">
        <v>45984</v>
      </c>
      <c r="E23" s="128">
        <v>46014</v>
      </c>
      <c r="F23" s="118" t="s">
        <v>334</v>
      </c>
      <c r="G23" s="118" t="s">
        <v>335</v>
      </c>
      <c r="H23" s="119">
        <f t="shared" ca="1" si="0"/>
        <v>46020.437982060183</v>
      </c>
      <c r="I23" s="120">
        <f t="shared" ca="1" si="1"/>
        <v>-6.4379820601825486</v>
      </c>
      <c r="J23" s="121" t="str">
        <f t="shared" ca="1" si="2"/>
        <v>EXPIRED</v>
      </c>
    </row>
    <row r="24" spans="1:10" ht="33">
      <c r="A24" s="123">
        <v>3</v>
      </c>
      <c r="B24" s="115">
        <f>VLOOKUP(A24, COSTS!$I$7:$J$13, 2, FALSE)</f>
        <v>100</v>
      </c>
      <c r="C24" s="129" t="s">
        <v>138</v>
      </c>
      <c r="D24" s="124">
        <v>45982</v>
      </c>
      <c r="E24" s="124">
        <v>46102</v>
      </c>
      <c r="F24" s="125">
        <v>772734094</v>
      </c>
      <c r="G24" s="125" t="s">
        <v>139</v>
      </c>
      <c r="H24" s="119">
        <f t="shared" ca="1" si="0"/>
        <v>46020.437982060183</v>
      </c>
      <c r="I24" s="120">
        <f t="shared" ca="1" si="1"/>
        <v>81.562017939817451</v>
      </c>
      <c r="J24" s="121" t="str">
        <f t="shared" ca="1" si="2"/>
        <v>ACTIVE</v>
      </c>
    </row>
    <row r="25" spans="1:10" ht="33">
      <c r="A25" s="123">
        <v>2</v>
      </c>
      <c r="B25" s="115">
        <f>VLOOKUP(A25, COSTS!$I$7:$J$13, 2, FALSE)</f>
        <v>65</v>
      </c>
      <c r="C25" s="123" t="s">
        <v>6</v>
      </c>
      <c r="D25" s="138">
        <v>45982</v>
      </c>
      <c r="E25" s="124">
        <v>46043</v>
      </c>
      <c r="F25" s="125">
        <v>967990940</v>
      </c>
      <c r="G25" s="125" t="s">
        <v>7</v>
      </c>
      <c r="H25" s="119">
        <f t="shared" ca="1" si="0"/>
        <v>46020.437982060183</v>
      </c>
      <c r="I25" s="120">
        <f t="shared" ca="1" si="1"/>
        <v>22.562017939817451</v>
      </c>
      <c r="J25" s="121" t="str">
        <f t="shared" ca="1" si="2"/>
        <v>DUE THIS MONTH</v>
      </c>
    </row>
    <row r="26" spans="1:10">
      <c r="A26" s="130">
        <v>1</v>
      </c>
      <c r="B26" s="115">
        <f>VLOOKUP(A26, COSTS!$I$7:$J$13, 2, FALSE)</f>
        <v>32</v>
      </c>
      <c r="C26" s="130" t="s">
        <v>199</v>
      </c>
      <c r="D26" s="131">
        <v>45982</v>
      </c>
      <c r="E26" s="131">
        <v>46012</v>
      </c>
      <c r="F26" s="133" t="s">
        <v>200</v>
      </c>
      <c r="G26" s="133" t="s">
        <v>201</v>
      </c>
      <c r="H26" s="119">
        <f t="shared" ca="1" si="0"/>
        <v>46020.437982060183</v>
      </c>
      <c r="I26" s="120">
        <f t="shared" ca="1" si="1"/>
        <v>-8.4379820601825486</v>
      </c>
      <c r="J26" s="121" t="str">
        <f t="shared" ca="1" si="2"/>
        <v>EXPIRED</v>
      </c>
    </row>
    <row r="27" spans="1:10">
      <c r="A27" s="126">
        <v>3</v>
      </c>
      <c r="B27" s="115">
        <f>VLOOKUP(A27, COSTS!$I$7:$J$13, 2, FALSE)</f>
        <v>100</v>
      </c>
      <c r="C27" s="126" t="s">
        <v>6</v>
      </c>
      <c r="D27" s="127">
        <v>45981</v>
      </c>
      <c r="E27" s="127">
        <v>46073</v>
      </c>
      <c r="F27" s="118">
        <v>770438283</v>
      </c>
      <c r="G27" s="118" t="s">
        <v>258</v>
      </c>
      <c r="H27" s="119">
        <f t="shared" ca="1" si="0"/>
        <v>46020.437982060183</v>
      </c>
      <c r="I27" s="120">
        <f t="shared" ca="1" si="1"/>
        <v>52.562017939817451</v>
      </c>
      <c r="J27" s="121" t="str">
        <f t="shared" ca="1" si="2"/>
        <v>ACTIVE</v>
      </c>
    </row>
    <row r="28" spans="1:10">
      <c r="A28" s="126">
        <v>2</v>
      </c>
      <c r="B28" s="115">
        <f>VLOOKUP(A28, COSTS!$I$7:$J$13, 2, FALSE)</f>
        <v>65</v>
      </c>
      <c r="C28" s="126" t="s">
        <v>110</v>
      </c>
      <c r="D28" s="128">
        <v>45978</v>
      </c>
      <c r="E28" s="127">
        <v>46070</v>
      </c>
      <c r="F28" s="118" t="s">
        <v>364</v>
      </c>
      <c r="G28" s="118" t="s">
        <v>365</v>
      </c>
      <c r="H28" s="119">
        <f t="shared" ca="1" si="0"/>
        <v>46020.437982060183</v>
      </c>
      <c r="I28" s="120">
        <f t="shared" ca="1" si="1"/>
        <v>49.562017939817451</v>
      </c>
      <c r="J28" s="121" t="str">
        <f t="shared" ca="1" si="2"/>
        <v>ACTIVE</v>
      </c>
    </row>
    <row r="29" spans="1:10">
      <c r="A29" s="126">
        <v>2</v>
      </c>
      <c r="B29" s="115">
        <f>VLOOKUP(A29, COSTS!$I$7:$J$13, 2, FALSE)</f>
        <v>65</v>
      </c>
      <c r="C29" s="126" t="s">
        <v>361</v>
      </c>
      <c r="D29" s="128">
        <v>45978</v>
      </c>
      <c r="E29" s="127">
        <v>46039</v>
      </c>
      <c r="F29" s="118" t="s">
        <v>366</v>
      </c>
      <c r="G29" s="118" t="s">
        <v>367</v>
      </c>
      <c r="H29" s="119">
        <f t="shared" ca="1" si="0"/>
        <v>46020.437982060183</v>
      </c>
      <c r="I29" s="120">
        <f t="shared" ca="1" si="1"/>
        <v>18.562017939817451</v>
      </c>
      <c r="J29" s="121" t="str">
        <f t="shared" ca="1" si="2"/>
        <v>DUE THIS MONTH</v>
      </c>
    </row>
    <row r="30" spans="1:10" ht="33">
      <c r="A30" s="114">
        <v>1</v>
      </c>
      <c r="B30" s="115">
        <f>VLOOKUP(A30, COSTS!$I$7:$J$13, 2, FALSE)</f>
        <v>32</v>
      </c>
      <c r="C30" s="139" t="s">
        <v>127</v>
      </c>
      <c r="D30" s="116">
        <v>45978</v>
      </c>
      <c r="E30" s="116">
        <v>46008</v>
      </c>
      <c r="F30" s="117">
        <v>761673610</v>
      </c>
      <c r="G30" s="117" t="s">
        <v>128</v>
      </c>
      <c r="H30" s="119">
        <f t="shared" ca="1" si="0"/>
        <v>46020.437982060183</v>
      </c>
      <c r="I30" s="120">
        <f t="shared" ca="1" si="1"/>
        <v>-12.437982060182549</v>
      </c>
      <c r="J30" s="121" t="str">
        <f t="shared" ca="1" si="2"/>
        <v>EXPIRED</v>
      </c>
    </row>
    <row r="31" spans="1:10" ht="33">
      <c r="A31" s="114">
        <v>1</v>
      </c>
      <c r="B31" s="115">
        <f>VLOOKUP(A31, COSTS!$I$7:$J$13, 2, FALSE)</f>
        <v>32</v>
      </c>
      <c r="C31" s="140" t="s">
        <v>195</v>
      </c>
      <c r="D31" s="116">
        <v>45978</v>
      </c>
      <c r="E31" s="116">
        <v>46008</v>
      </c>
      <c r="F31" s="117">
        <v>976433541</v>
      </c>
      <c r="G31" s="117" t="s">
        <v>196</v>
      </c>
      <c r="H31" s="119">
        <f t="shared" ca="1" si="0"/>
        <v>46020.437982060183</v>
      </c>
      <c r="I31" s="120">
        <f t="shared" ca="1" si="1"/>
        <v>-12.437982060182549</v>
      </c>
      <c r="J31" s="121" t="str">
        <f t="shared" ca="1" si="2"/>
        <v>EXPIRED</v>
      </c>
    </row>
    <row r="32" spans="1:10">
      <c r="A32" s="118">
        <v>1</v>
      </c>
      <c r="B32" s="115">
        <f>VLOOKUP(A32, COSTS!$I$7:$J$13, 2, FALSE)</f>
        <v>32</v>
      </c>
      <c r="C32" s="118" t="s">
        <v>361</v>
      </c>
      <c r="D32" s="128">
        <v>45978</v>
      </c>
      <c r="E32" s="128">
        <v>46008</v>
      </c>
      <c r="F32" s="118" t="s">
        <v>368</v>
      </c>
      <c r="G32" s="118" t="s">
        <v>369</v>
      </c>
      <c r="H32" s="119">
        <f t="shared" ca="1" si="0"/>
        <v>46020.437982060183</v>
      </c>
      <c r="I32" s="120">
        <f t="shared" ca="1" si="1"/>
        <v>-12.437982060182549</v>
      </c>
      <c r="J32" s="121" t="str">
        <f t="shared" ca="1" si="2"/>
        <v>EXPIRED</v>
      </c>
    </row>
    <row r="33" spans="1:10">
      <c r="A33" s="126">
        <v>2</v>
      </c>
      <c r="B33" s="115">
        <f>VLOOKUP(A33, COSTS!$I$7:$J$13, 2, FALSE)</f>
        <v>65</v>
      </c>
      <c r="C33" s="126" t="s">
        <v>79</v>
      </c>
      <c r="D33" s="127">
        <v>45977</v>
      </c>
      <c r="E33" s="127">
        <v>46038</v>
      </c>
      <c r="F33" s="118" t="s">
        <v>242</v>
      </c>
      <c r="G33" s="118" t="s">
        <v>243</v>
      </c>
      <c r="H33" s="119">
        <f t="shared" ca="1" si="0"/>
        <v>46020.437982060183</v>
      </c>
      <c r="I33" s="120">
        <f t="shared" ca="1" si="1"/>
        <v>17.562017939817451</v>
      </c>
      <c r="J33" s="121" t="str">
        <f t="shared" ca="1" si="2"/>
        <v>DUE THIS MONTH</v>
      </c>
    </row>
    <row r="34" spans="1:10">
      <c r="A34" s="126">
        <v>3</v>
      </c>
      <c r="B34" s="115">
        <f>VLOOKUP(A34, COSTS!$I$7:$J$13, 2, FALSE)</f>
        <v>100</v>
      </c>
      <c r="C34" s="126" t="s">
        <v>6</v>
      </c>
      <c r="D34" s="128">
        <v>45976</v>
      </c>
      <c r="E34" s="127">
        <v>46068</v>
      </c>
      <c r="F34" s="118" t="s">
        <v>357</v>
      </c>
      <c r="G34" s="118" t="s">
        <v>358</v>
      </c>
      <c r="H34" s="119">
        <f t="shared" ref="H34:H51" ca="1" si="3">NOW()</f>
        <v>46020.437982060183</v>
      </c>
      <c r="I34" s="120">
        <f t="shared" ref="I34:I51" ca="1" si="4">E34-H34</f>
        <v>47.562017939817451</v>
      </c>
      <c r="J34" s="121" t="str">
        <f t="shared" ref="J34:J51" ca="1" si="5">IF(I34&lt;=0, "EXPIRED",
 IF(I34&lt;=7, "DUE THIS WEEK",
 IF(I34&lt;=30, "DUE THIS MONTH", "ACTIVE")))</f>
        <v>ACTIVE</v>
      </c>
    </row>
    <row r="35" spans="1:10">
      <c r="A35" s="130">
        <v>2</v>
      </c>
      <c r="B35" s="115">
        <f>VLOOKUP(A35, COSTS!$I$7:$J$13, 2, FALSE)</f>
        <v>65</v>
      </c>
      <c r="C35" s="130" t="s">
        <v>150</v>
      </c>
      <c r="D35" s="131">
        <v>45976</v>
      </c>
      <c r="E35" s="131">
        <v>46037</v>
      </c>
      <c r="F35" s="133">
        <v>773740049</v>
      </c>
      <c r="G35" s="133" t="s">
        <v>151</v>
      </c>
      <c r="H35" s="119">
        <f t="shared" ca="1" si="3"/>
        <v>46020.437982060183</v>
      </c>
      <c r="I35" s="120">
        <f t="shared" ca="1" si="4"/>
        <v>16.562017939817451</v>
      </c>
      <c r="J35" s="121" t="str">
        <f t="shared" ca="1" si="5"/>
        <v>DUE THIS MONTH</v>
      </c>
    </row>
    <row r="36" spans="1:10">
      <c r="A36" s="126">
        <v>2</v>
      </c>
      <c r="B36" s="115">
        <f>VLOOKUP(A36, COSTS!$I$7:$J$13, 2, FALSE)</f>
        <v>65</v>
      </c>
      <c r="C36" s="126" t="s">
        <v>361</v>
      </c>
      <c r="D36" s="128">
        <v>45976</v>
      </c>
      <c r="E36" s="127">
        <v>46037</v>
      </c>
      <c r="F36" s="118" t="s">
        <v>362</v>
      </c>
      <c r="G36" s="118" t="s">
        <v>363</v>
      </c>
      <c r="H36" s="119">
        <f t="shared" ca="1" si="3"/>
        <v>46020.437982060183</v>
      </c>
      <c r="I36" s="120">
        <f t="shared" ca="1" si="4"/>
        <v>16.562017939817451</v>
      </c>
      <c r="J36" s="121" t="str">
        <f t="shared" ca="1" si="5"/>
        <v>DUE THIS MONTH</v>
      </c>
    </row>
    <row r="37" spans="1:10">
      <c r="A37" s="126">
        <v>1</v>
      </c>
      <c r="B37" s="115">
        <f>VLOOKUP(A37, COSTS!$I$7:$J$13, 2, FALSE)</f>
        <v>32</v>
      </c>
      <c r="C37" s="126" t="s">
        <v>77</v>
      </c>
      <c r="D37" s="128">
        <v>45976</v>
      </c>
      <c r="E37" s="128">
        <v>46006</v>
      </c>
      <c r="F37" s="118">
        <v>772691176</v>
      </c>
      <c r="G37" s="118" t="s">
        <v>356</v>
      </c>
      <c r="H37" s="119">
        <f t="shared" ca="1" si="3"/>
        <v>46020.437982060183</v>
      </c>
      <c r="I37" s="120">
        <f t="shared" ca="1" si="4"/>
        <v>-14.437982060182549</v>
      </c>
      <c r="J37" s="121" t="str">
        <f t="shared" ca="1" si="5"/>
        <v>EXPIRED</v>
      </c>
    </row>
    <row r="38" spans="1:10">
      <c r="A38" s="126">
        <v>1</v>
      </c>
      <c r="B38" s="115">
        <f>VLOOKUP(A38, COSTS!$I$7:$J$13, 2, FALSE)</f>
        <v>32</v>
      </c>
      <c r="C38" s="126" t="s">
        <v>79</v>
      </c>
      <c r="D38" s="128">
        <v>45976</v>
      </c>
      <c r="E38" s="128">
        <v>46006</v>
      </c>
      <c r="F38" s="118" t="s">
        <v>359</v>
      </c>
      <c r="G38" s="118" t="s">
        <v>360</v>
      </c>
      <c r="H38" s="119">
        <f t="shared" ca="1" si="3"/>
        <v>46020.437982060183</v>
      </c>
      <c r="I38" s="120">
        <f t="shared" ca="1" si="4"/>
        <v>-14.437982060182549</v>
      </c>
      <c r="J38" s="121" t="str">
        <f t="shared" ca="1" si="5"/>
        <v>EXPIRED</v>
      </c>
    </row>
    <row r="39" spans="1:10">
      <c r="A39" s="126">
        <v>6</v>
      </c>
      <c r="B39" s="115">
        <f>VLOOKUP(A39, COSTS!$I$7:$J$13, 2, FALSE)</f>
        <v>195</v>
      </c>
      <c r="C39" s="126" t="s">
        <v>88</v>
      </c>
      <c r="D39" s="128">
        <v>45975</v>
      </c>
      <c r="E39" s="127">
        <v>46067</v>
      </c>
      <c r="F39" s="118">
        <v>60779320678</v>
      </c>
      <c r="G39" s="118" t="s">
        <v>347</v>
      </c>
      <c r="H39" s="119">
        <f t="shared" ca="1" si="3"/>
        <v>46020.437982060183</v>
      </c>
      <c r="I39" s="120">
        <f t="shared" ca="1" si="4"/>
        <v>46.562017939817451</v>
      </c>
      <c r="J39" s="121" t="str">
        <f t="shared" ca="1" si="5"/>
        <v>ACTIVE</v>
      </c>
    </row>
    <row r="40" spans="1:10">
      <c r="A40" s="126">
        <v>2</v>
      </c>
      <c r="B40" s="115">
        <f>VLOOKUP(A40, COSTS!$I$7:$J$13, 2, FALSE)</f>
        <v>65</v>
      </c>
      <c r="C40" s="126" t="s">
        <v>215</v>
      </c>
      <c r="D40" s="128">
        <v>45975</v>
      </c>
      <c r="E40" s="127">
        <v>46036</v>
      </c>
      <c r="F40" s="118" t="s">
        <v>354</v>
      </c>
      <c r="G40" s="118" t="s">
        <v>355</v>
      </c>
      <c r="H40" s="119">
        <f t="shared" ca="1" si="3"/>
        <v>46020.437982060183</v>
      </c>
      <c r="I40" s="120">
        <f t="shared" ca="1" si="4"/>
        <v>15.562017939817451</v>
      </c>
      <c r="J40" s="121" t="str">
        <f t="shared" ca="1" si="5"/>
        <v>DUE THIS MONTH</v>
      </c>
    </row>
    <row r="41" spans="1:10" ht="33">
      <c r="A41" s="123">
        <v>1</v>
      </c>
      <c r="B41" s="115">
        <f>VLOOKUP(A41, COSTS!$I$7:$J$13, 2, FALSE)</f>
        <v>32</v>
      </c>
      <c r="C41" s="123"/>
      <c r="D41" s="124">
        <v>45975</v>
      </c>
      <c r="E41" s="124">
        <v>46005</v>
      </c>
      <c r="F41" s="125" t="s">
        <v>164</v>
      </c>
      <c r="G41" s="125" t="s">
        <v>165</v>
      </c>
      <c r="H41" s="119">
        <f t="shared" ca="1" si="3"/>
        <v>46020.437982060183</v>
      </c>
      <c r="I41" s="120">
        <f t="shared" ca="1" si="4"/>
        <v>-15.437982060182549</v>
      </c>
      <c r="J41" s="121" t="str">
        <f t="shared" ca="1" si="5"/>
        <v>EXPIRED</v>
      </c>
    </row>
    <row r="42" spans="1:10">
      <c r="A42" s="126">
        <v>3</v>
      </c>
      <c r="B42" s="115">
        <f>VLOOKUP(A42, COSTS!$I$7:$J$13, 2, FALSE)</f>
        <v>100</v>
      </c>
      <c r="C42" s="126" t="s">
        <v>344</v>
      </c>
      <c r="D42" s="128">
        <v>45974</v>
      </c>
      <c r="E42" s="127">
        <v>46035</v>
      </c>
      <c r="F42" s="118">
        <v>774967746</v>
      </c>
      <c r="G42" s="118" t="s">
        <v>353</v>
      </c>
      <c r="H42" s="119">
        <f t="shared" ca="1" si="3"/>
        <v>46020.437982060183</v>
      </c>
      <c r="I42" s="120">
        <f t="shared" ca="1" si="4"/>
        <v>14.562017939817451</v>
      </c>
      <c r="J42" s="121" t="str">
        <f t="shared" ca="1" si="5"/>
        <v>DUE THIS MONTH</v>
      </c>
    </row>
    <row r="43" spans="1:10">
      <c r="A43" s="126">
        <v>12</v>
      </c>
      <c r="B43" s="115">
        <f>VLOOKUP(A43, COSTS!$I$7:$J$13, 2, FALSE)</f>
        <v>225</v>
      </c>
      <c r="C43" s="126" t="s">
        <v>344</v>
      </c>
      <c r="D43" s="128">
        <v>45973</v>
      </c>
      <c r="E43" s="141">
        <v>46368</v>
      </c>
      <c r="F43" s="118">
        <v>768846867</v>
      </c>
      <c r="G43" s="118" t="s">
        <v>345</v>
      </c>
      <c r="H43" s="119">
        <f t="shared" ca="1" si="3"/>
        <v>46020.437982060183</v>
      </c>
      <c r="I43" s="120">
        <f t="shared" ca="1" si="4"/>
        <v>347.56201793981745</v>
      </c>
      <c r="J43" s="121" t="str">
        <f t="shared" ca="1" si="5"/>
        <v>ACTIVE</v>
      </c>
    </row>
    <row r="44" spans="1:10">
      <c r="A44" s="126">
        <v>3</v>
      </c>
      <c r="B44" s="115">
        <f>VLOOKUP(A44, COSTS!$I$7:$J$13, 2, FALSE)</f>
        <v>100</v>
      </c>
      <c r="C44" s="126" t="s">
        <v>349</v>
      </c>
      <c r="D44" s="128">
        <v>45973</v>
      </c>
      <c r="E44" s="127">
        <v>46065</v>
      </c>
      <c r="F44" s="118" t="s">
        <v>350</v>
      </c>
      <c r="G44" s="118" t="s">
        <v>351</v>
      </c>
      <c r="H44" s="119">
        <f t="shared" ca="1" si="3"/>
        <v>46020.437982060183</v>
      </c>
      <c r="I44" s="120">
        <f t="shared" ca="1" si="4"/>
        <v>44.562017939817451</v>
      </c>
      <c r="J44" s="121" t="str">
        <f t="shared" ca="1" si="5"/>
        <v>ACTIVE</v>
      </c>
    </row>
    <row r="45" spans="1:10">
      <c r="A45" s="126">
        <v>3</v>
      </c>
      <c r="B45" s="115">
        <f>VLOOKUP(A45, COSTS!$I$7:$J$13, 2, FALSE)</f>
        <v>100</v>
      </c>
      <c r="C45" s="126" t="s">
        <v>349</v>
      </c>
      <c r="D45" s="128">
        <v>45973</v>
      </c>
      <c r="E45" s="127">
        <v>46065</v>
      </c>
      <c r="F45" s="118">
        <v>776624932</v>
      </c>
      <c r="G45" s="118" t="s">
        <v>352</v>
      </c>
      <c r="H45" s="119">
        <f t="shared" ca="1" si="3"/>
        <v>46020.437982060183</v>
      </c>
      <c r="I45" s="120">
        <f t="shared" ca="1" si="4"/>
        <v>44.562017939817451</v>
      </c>
      <c r="J45" s="121" t="str">
        <f t="shared" ca="1" si="5"/>
        <v>ACTIVE</v>
      </c>
    </row>
    <row r="46" spans="1:10">
      <c r="A46" s="126">
        <v>2</v>
      </c>
      <c r="B46" s="115">
        <f>VLOOKUP(A46, COSTS!$I$7:$J$13, 2, FALSE)</f>
        <v>65</v>
      </c>
      <c r="C46" s="126" t="s">
        <v>172</v>
      </c>
      <c r="D46" s="128">
        <v>45972</v>
      </c>
      <c r="E46" s="127">
        <v>46033</v>
      </c>
      <c r="F46" s="118">
        <v>966944143</v>
      </c>
      <c r="G46" s="118" t="s">
        <v>346</v>
      </c>
      <c r="H46" s="119">
        <f t="shared" ca="1" si="3"/>
        <v>46020.437982060183</v>
      </c>
      <c r="I46" s="120">
        <f t="shared" ca="1" si="4"/>
        <v>12.562017939817451</v>
      </c>
      <c r="J46" s="121" t="str">
        <f t="shared" ca="1" si="5"/>
        <v>DUE THIS MONTH</v>
      </c>
    </row>
    <row r="47" spans="1:10">
      <c r="A47" s="126">
        <v>2</v>
      </c>
      <c r="B47" s="115">
        <f>VLOOKUP(A47, COSTS!$I$7:$J$13, 2, FALSE)</f>
        <v>65</v>
      </c>
      <c r="C47" s="126" t="s">
        <v>116</v>
      </c>
      <c r="D47" s="128">
        <v>45972</v>
      </c>
      <c r="E47" s="127">
        <v>46033</v>
      </c>
      <c r="F47" s="118">
        <v>773953416</v>
      </c>
      <c r="G47" s="118" t="s">
        <v>348</v>
      </c>
      <c r="H47" s="119">
        <f t="shared" ca="1" si="3"/>
        <v>46020.437982060183</v>
      </c>
      <c r="I47" s="120">
        <f t="shared" ca="1" si="4"/>
        <v>12.562017939817451</v>
      </c>
      <c r="J47" s="121" t="str">
        <f t="shared" ca="1" si="5"/>
        <v>DUE THIS MONTH</v>
      </c>
    </row>
    <row r="48" spans="1:10">
      <c r="A48" s="126">
        <v>2</v>
      </c>
      <c r="B48" s="115">
        <f>VLOOKUP(A48, COSTS!$I$7:$J$13, 2, FALSE)</f>
        <v>65</v>
      </c>
      <c r="C48" s="126" t="s">
        <v>134</v>
      </c>
      <c r="D48" s="127">
        <v>45971</v>
      </c>
      <c r="E48" s="127">
        <v>46032</v>
      </c>
      <c r="F48" s="118" t="s">
        <v>282</v>
      </c>
      <c r="G48" s="118" t="s">
        <v>283</v>
      </c>
      <c r="H48" s="119">
        <f t="shared" ca="1" si="3"/>
        <v>46020.437982060183</v>
      </c>
      <c r="I48" s="120">
        <f t="shared" ca="1" si="4"/>
        <v>11.562017939817451</v>
      </c>
      <c r="J48" s="121" t="str">
        <f t="shared" ca="1" si="5"/>
        <v>DUE THIS MONTH</v>
      </c>
    </row>
    <row r="49" spans="1:10">
      <c r="A49" s="130">
        <v>4</v>
      </c>
      <c r="B49" s="115">
        <f>VLOOKUP(A49, COSTS!$I$7:$J$13, 2, FALSE)</f>
        <v>135</v>
      </c>
      <c r="C49" s="130" t="s">
        <v>180</v>
      </c>
      <c r="D49" s="131">
        <v>45963</v>
      </c>
      <c r="E49" s="131">
        <v>46114</v>
      </c>
      <c r="F49" s="133" t="s">
        <v>181</v>
      </c>
      <c r="G49" s="133" t="s">
        <v>182</v>
      </c>
      <c r="H49" s="119">
        <f t="shared" ca="1" si="3"/>
        <v>46020.437982060183</v>
      </c>
      <c r="I49" s="120">
        <f t="shared" ca="1" si="4"/>
        <v>93.562017939817451</v>
      </c>
      <c r="J49" s="121" t="str">
        <f t="shared" ca="1" si="5"/>
        <v>ACTIVE</v>
      </c>
    </row>
    <row r="50" spans="1:10" ht="33">
      <c r="A50" s="140">
        <v>2</v>
      </c>
      <c r="B50" s="115">
        <f>VLOOKUP(A50, COSTS!$I$7:$J$13, 2, FALSE)</f>
        <v>65</v>
      </c>
      <c r="C50" s="123" t="s">
        <v>30</v>
      </c>
      <c r="D50" s="142">
        <v>45962</v>
      </c>
      <c r="E50" s="142">
        <v>46023</v>
      </c>
      <c r="F50" s="125" t="s">
        <v>31</v>
      </c>
      <c r="G50" s="125" t="s">
        <v>32</v>
      </c>
      <c r="H50" s="119">
        <f t="shared" ca="1" si="3"/>
        <v>46020.437982060183</v>
      </c>
      <c r="I50" s="120">
        <f t="shared" ca="1" si="4"/>
        <v>2.5620179398174514</v>
      </c>
      <c r="J50" s="121" t="str">
        <f t="shared" ca="1" si="5"/>
        <v>DUE THIS WEEK</v>
      </c>
    </row>
    <row r="51" spans="1:10" ht="33">
      <c r="A51" s="123">
        <v>6</v>
      </c>
      <c r="B51" s="115">
        <f>VLOOKUP(A51, COSTS!$I$7:$J$13, 2, FALSE)</f>
        <v>195</v>
      </c>
      <c r="C51" s="123" t="s">
        <v>104</v>
      </c>
      <c r="D51" s="124">
        <v>45962</v>
      </c>
      <c r="E51" s="124">
        <v>46023</v>
      </c>
      <c r="F51" s="125">
        <v>765655022</v>
      </c>
      <c r="G51" s="125" t="s">
        <v>105</v>
      </c>
      <c r="H51" s="119">
        <f t="shared" ca="1" si="3"/>
        <v>46020.437982060183</v>
      </c>
      <c r="I51" s="120">
        <f t="shared" ca="1" si="4"/>
        <v>2.5620179398174514</v>
      </c>
      <c r="J51" s="121" t="str">
        <f t="shared" ca="1" si="5"/>
        <v>DUE THIS WEEK</v>
      </c>
    </row>
  </sheetData>
  <autoFilter ref="A1:J51" xr:uid="{DEDE63E4-58D2-4258-AA14-42AF7F6B0CE9}"/>
  <conditionalFormatting sqref="I1:I51">
    <cfRule type="cellIs" dxfId="2" priority="2" operator="lessThan">
      <formula>1</formula>
    </cfRule>
  </conditionalFormatting>
  <conditionalFormatting sqref="I2:I51">
    <cfRule type="cellIs" dxfId="1" priority="1" operator="lessThan">
      <formula>10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DA9B-F041-4CDC-A20F-428E5490A64C}">
  <sheetPr>
    <tabColor theme="5" tint="0.39997558519241921"/>
  </sheetPr>
  <dimension ref="A1:I35"/>
  <sheetViews>
    <sheetView zoomScale="93" workbookViewId="0">
      <selection activeCell="D5" sqref="D5"/>
    </sheetView>
  </sheetViews>
  <sheetFormatPr defaultColWidth="12.6328125" defaultRowHeight="12.5"/>
  <cols>
    <col min="1" max="1" width="22" style="1" bestFit="1" customWidth="1"/>
    <col min="2" max="4" width="12.6328125" style="1"/>
    <col min="5" max="5" width="20" style="1" bestFit="1" customWidth="1"/>
    <col min="6" max="6" width="22.7265625" style="6" bestFit="1" customWidth="1"/>
    <col min="7" max="7" width="27.1796875" style="6" bestFit="1" customWidth="1"/>
    <col min="8" max="8" width="21.81640625" style="1" bestFit="1" customWidth="1"/>
    <col min="9" max="9" width="11.6328125" style="1" bestFit="1" customWidth="1"/>
    <col min="10" max="16384" width="12.6328125" style="1"/>
  </cols>
  <sheetData>
    <row r="1" spans="1:9" ht="15.75" customHeight="1">
      <c r="A1" s="76" t="s">
        <v>407</v>
      </c>
      <c r="B1" s="76" t="s">
        <v>408</v>
      </c>
      <c r="C1" s="76" t="s">
        <v>409</v>
      </c>
    </row>
    <row r="2" spans="1:9" ht="15.75" customHeight="1">
      <c r="A2" s="144" t="s">
        <v>410</v>
      </c>
      <c r="B2" s="64">
        <v>67</v>
      </c>
      <c r="C2" s="63">
        <v>45989</v>
      </c>
      <c r="E2" s="230" t="s">
        <v>411</v>
      </c>
      <c r="F2" s="230"/>
      <c r="G2" s="230"/>
      <c r="H2" s="230"/>
      <c r="I2" s="230"/>
    </row>
    <row r="3" spans="1:9" ht="15.75" customHeight="1">
      <c r="A3" s="144" t="s">
        <v>412</v>
      </c>
      <c r="B3" s="64">
        <v>67</v>
      </c>
      <c r="C3" s="63">
        <v>45973</v>
      </c>
      <c r="E3" s="145" t="s">
        <v>413</v>
      </c>
      <c r="F3" s="146" t="s">
        <v>414</v>
      </c>
      <c r="G3" s="146" t="s">
        <v>415</v>
      </c>
      <c r="H3" s="145" t="s">
        <v>416</v>
      </c>
      <c r="I3" s="145" t="s">
        <v>417</v>
      </c>
    </row>
    <row r="4" spans="1:9" ht="15.75" customHeight="1">
      <c r="A4" s="144" t="s">
        <v>412</v>
      </c>
      <c r="B4" s="64">
        <v>67</v>
      </c>
      <c r="C4" s="63">
        <v>45974</v>
      </c>
      <c r="E4" s="5">
        <v>15</v>
      </c>
      <c r="F4" s="5">
        <f>15*5</f>
        <v>75</v>
      </c>
      <c r="G4" s="5">
        <v>50</v>
      </c>
      <c r="H4" s="5">
        <v>2</v>
      </c>
      <c r="I4" s="65">
        <f>SUM(B2:B16)</f>
        <v>1005</v>
      </c>
    </row>
    <row r="5" spans="1:9" ht="15.75" customHeight="1">
      <c r="A5" s="144" t="s">
        <v>412</v>
      </c>
      <c r="B5" s="64">
        <v>67</v>
      </c>
      <c r="C5" s="63">
        <v>45975</v>
      </c>
    </row>
    <row r="6" spans="1:9" ht="15.75" customHeight="1">
      <c r="A6" s="144" t="s">
        <v>412</v>
      </c>
      <c r="B6" s="64">
        <v>67</v>
      </c>
      <c r="C6" s="63">
        <v>45975</v>
      </c>
      <c r="E6" s="231" t="s">
        <v>474</v>
      </c>
      <c r="F6" s="231"/>
      <c r="G6" s="231"/>
      <c r="H6" s="231"/>
      <c r="I6" s="231"/>
    </row>
    <row r="7" spans="1:9" ht="15.75" customHeight="1">
      <c r="A7" s="144" t="s">
        <v>412</v>
      </c>
      <c r="B7" s="64">
        <v>67</v>
      </c>
      <c r="C7" s="63">
        <v>45976</v>
      </c>
      <c r="E7" s="202" t="s">
        <v>413</v>
      </c>
      <c r="F7" s="203" t="s">
        <v>414</v>
      </c>
      <c r="G7" s="203" t="s">
        <v>415</v>
      </c>
      <c r="H7" s="202" t="s">
        <v>416</v>
      </c>
      <c r="I7" s="202" t="s">
        <v>417</v>
      </c>
    </row>
    <row r="8" spans="1:9" ht="15.75" customHeight="1">
      <c r="A8" s="144" t="s">
        <v>412</v>
      </c>
      <c r="B8" s="64">
        <v>67</v>
      </c>
      <c r="C8" s="63">
        <v>45980</v>
      </c>
      <c r="E8" s="5">
        <v>2</v>
      </c>
      <c r="F8" s="5">
        <f>E8*5</f>
        <v>10</v>
      </c>
      <c r="G8" s="5">
        <v>50</v>
      </c>
      <c r="H8" s="5">
        <v>2</v>
      </c>
      <c r="I8" s="65">
        <v>70</v>
      </c>
    </row>
    <row r="9" spans="1:9" ht="15.75" customHeight="1">
      <c r="A9" s="144" t="s">
        <v>412</v>
      </c>
      <c r="B9" s="64">
        <v>67</v>
      </c>
      <c r="C9" s="63">
        <v>45982</v>
      </c>
    </row>
    <row r="10" spans="1:9" ht="15.75" customHeight="1">
      <c r="A10" s="144" t="s">
        <v>412</v>
      </c>
      <c r="B10" s="64">
        <v>67</v>
      </c>
      <c r="C10" s="63">
        <v>45985</v>
      </c>
      <c r="E10" s="232" t="s">
        <v>475</v>
      </c>
      <c r="F10" s="232"/>
      <c r="G10" s="232"/>
      <c r="H10" s="232"/>
      <c r="I10" s="232"/>
    </row>
    <row r="11" spans="1:9" ht="15.75" customHeight="1">
      <c r="A11" s="144" t="s">
        <v>412</v>
      </c>
      <c r="B11" s="64">
        <v>67</v>
      </c>
      <c r="C11" s="63">
        <v>45985</v>
      </c>
      <c r="E11" s="204" t="s">
        <v>413</v>
      </c>
      <c r="F11" s="205" t="s">
        <v>414</v>
      </c>
      <c r="G11" s="205" t="s">
        <v>415</v>
      </c>
      <c r="H11" s="204" t="s">
        <v>416</v>
      </c>
      <c r="I11" s="204" t="s">
        <v>417</v>
      </c>
    </row>
    <row r="12" spans="1:9" ht="15.75" customHeight="1">
      <c r="A12" s="144" t="s">
        <v>412</v>
      </c>
      <c r="B12" s="64">
        <v>67</v>
      </c>
      <c r="C12" s="63">
        <v>45988</v>
      </c>
      <c r="E12" s="5">
        <v>3</v>
      </c>
      <c r="F12" s="5">
        <f>E12*5</f>
        <v>15</v>
      </c>
      <c r="G12" s="5">
        <v>50</v>
      </c>
      <c r="H12" s="5">
        <v>2</v>
      </c>
      <c r="I12" s="65">
        <f>SUM(B22:B24)</f>
        <v>634</v>
      </c>
    </row>
    <row r="13" spans="1:9" ht="15.75" customHeight="1">
      <c r="A13" s="144" t="s">
        <v>412</v>
      </c>
      <c r="B13" s="64">
        <v>67</v>
      </c>
      <c r="C13" s="63">
        <v>45988</v>
      </c>
    </row>
    <row r="14" spans="1:9" ht="15.75" customHeight="1">
      <c r="A14" s="144" t="s">
        <v>412</v>
      </c>
      <c r="B14" s="64">
        <v>67</v>
      </c>
      <c r="C14" s="63">
        <v>45990</v>
      </c>
      <c r="E14" s="233" t="s">
        <v>476</v>
      </c>
      <c r="F14" s="233"/>
      <c r="G14" s="233"/>
      <c r="H14" s="233"/>
      <c r="I14" s="233"/>
    </row>
    <row r="15" spans="1:9" ht="15.75" customHeight="1">
      <c r="A15" s="144" t="s">
        <v>418</v>
      </c>
      <c r="B15" s="64">
        <v>67</v>
      </c>
      <c r="C15" s="63">
        <v>45975</v>
      </c>
      <c r="E15" s="206" t="s">
        <v>413</v>
      </c>
      <c r="F15" s="207" t="s">
        <v>414</v>
      </c>
      <c r="G15" s="207" t="s">
        <v>415</v>
      </c>
      <c r="H15" s="206" t="s">
        <v>416</v>
      </c>
      <c r="I15" s="206" t="s">
        <v>417</v>
      </c>
    </row>
    <row r="16" spans="1:9" ht="15.75" customHeight="1">
      <c r="A16" s="144" t="s">
        <v>418</v>
      </c>
      <c r="B16" s="64">
        <v>67</v>
      </c>
      <c r="C16" s="63">
        <v>45976</v>
      </c>
      <c r="E16" s="5">
        <v>3</v>
      </c>
      <c r="F16" s="5">
        <f>E16*5</f>
        <v>15</v>
      </c>
      <c r="G16" s="5">
        <v>7</v>
      </c>
      <c r="H16" s="5">
        <v>2</v>
      </c>
      <c r="I16" s="65">
        <f>SUM(B26:B28)</f>
        <v>347</v>
      </c>
    </row>
    <row r="17" spans="1:3" ht="15.75" customHeight="1">
      <c r="A17" s="144" t="s">
        <v>419</v>
      </c>
      <c r="B17" s="64">
        <v>35</v>
      </c>
      <c r="C17" s="63">
        <v>45991</v>
      </c>
    </row>
    <row r="18" spans="1:3" ht="15.75" customHeight="1">
      <c r="A18" s="144" t="s">
        <v>419</v>
      </c>
      <c r="B18" s="64">
        <v>35</v>
      </c>
      <c r="C18" s="63">
        <v>45991</v>
      </c>
    </row>
    <row r="19" spans="1:3" ht="15.75" customHeight="1">
      <c r="A19" s="144" t="s">
        <v>420</v>
      </c>
      <c r="B19" s="64">
        <v>225</v>
      </c>
      <c r="C19" s="63">
        <v>45977</v>
      </c>
    </row>
    <row r="20" spans="1:3" ht="15.75" customHeight="1">
      <c r="A20" s="144" t="s">
        <v>421</v>
      </c>
      <c r="B20" s="64">
        <v>100</v>
      </c>
      <c r="C20" s="63">
        <v>45988</v>
      </c>
    </row>
    <row r="21" spans="1:3" ht="15.75" customHeight="1">
      <c r="A21" s="144" t="s">
        <v>422</v>
      </c>
      <c r="B21" s="64">
        <v>35</v>
      </c>
      <c r="C21" s="63">
        <v>45991</v>
      </c>
    </row>
    <row r="22" spans="1:3">
      <c r="A22" s="144" t="s">
        <v>423</v>
      </c>
      <c r="B22" s="64">
        <v>189</v>
      </c>
      <c r="C22" s="63">
        <v>45975</v>
      </c>
    </row>
    <row r="23" spans="1:3">
      <c r="A23" s="144" t="s">
        <v>423</v>
      </c>
      <c r="B23" s="64">
        <v>260</v>
      </c>
      <c r="C23" s="63">
        <v>45986</v>
      </c>
    </row>
    <row r="24" spans="1:3">
      <c r="A24" s="144" t="s">
        <v>423</v>
      </c>
      <c r="B24" s="64">
        <v>185</v>
      </c>
      <c r="C24" s="63">
        <v>45991</v>
      </c>
    </row>
    <row r="25" spans="1:3">
      <c r="A25" s="144" t="s">
        <v>424</v>
      </c>
      <c r="B25" s="64">
        <v>161</v>
      </c>
      <c r="C25" s="63">
        <v>45988</v>
      </c>
    </row>
    <row r="26" spans="1:3">
      <c r="A26" s="144" t="s">
        <v>425</v>
      </c>
      <c r="B26" s="64">
        <v>67</v>
      </c>
      <c r="C26" s="63">
        <v>45974</v>
      </c>
    </row>
    <row r="27" spans="1:3">
      <c r="A27" s="144" t="s">
        <v>425</v>
      </c>
      <c r="B27" s="64">
        <v>140</v>
      </c>
      <c r="C27" s="63">
        <v>45988</v>
      </c>
    </row>
    <row r="28" spans="1:3">
      <c r="A28" s="144" t="s">
        <v>425</v>
      </c>
      <c r="B28" s="64">
        <v>140</v>
      </c>
      <c r="C28" s="63">
        <v>45988</v>
      </c>
    </row>
    <row r="29" spans="1:3">
      <c r="A29" s="144" t="s">
        <v>426</v>
      </c>
      <c r="B29" s="64">
        <f>SUM(B2:B28)</f>
        <v>2577</v>
      </c>
      <c r="C29" s="63"/>
    </row>
    <row r="30" spans="1:3">
      <c r="A30" s="21"/>
      <c r="B30" s="21"/>
      <c r="C30" s="61"/>
    </row>
    <row r="31" spans="1:3">
      <c r="A31" s="21"/>
      <c r="B31" s="21"/>
    </row>
    <row r="32" spans="1:3">
      <c r="A32" s="21"/>
      <c r="B32" s="21"/>
    </row>
    <row r="33" spans="1:3" ht="15.75" customHeight="1">
      <c r="A33" s="21"/>
      <c r="B33" s="21"/>
      <c r="C33" s="62"/>
    </row>
    <row r="34" spans="1:3" ht="15.75" customHeight="1">
      <c r="A34" s="21"/>
      <c r="B34" s="21"/>
      <c r="C34" s="62"/>
    </row>
    <row r="35" spans="1:3" ht="15.75" customHeight="1">
      <c r="A35" s="21"/>
      <c r="B35" s="21"/>
      <c r="C35" s="62"/>
    </row>
  </sheetData>
  <mergeCells count="4">
    <mergeCell ref="E2:I2"/>
    <mergeCell ref="E6:I6"/>
    <mergeCell ref="E10:I10"/>
    <mergeCell ref="E14:I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2A39-B190-45CB-A358-2B5C8AD7C7EE}">
  <sheetPr>
    <tabColor theme="2" tint="-0.249977111117893"/>
  </sheetPr>
  <dimension ref="A1:J10"/>
  <sheetViews>
    <sheetView workbookViewId="0">
      <selection activeCell="B2" sqref="B2:B10"/>
    </sheetView>
  </sheetViews>
  <sheetFormatPr defaultRowHeight="12.5"/>
  <cols>
    <col min="1" max="1" width="12.7265625" bestFit="1" customWidth="1"/>
    <col min="2" max="2" width="11.7265625" bestFit="1" customWidth="1"/>
    <col min="3" max="3" width="17.1796875" bestFit="1" customWidth="1"/>
    <col min="4" max="4" width="15.7265625" bestFit="1" customWidth="1"/>
    <col min="5" max="5" width="18.7265625" bestFit="1" customWidth="1"/>
    <col min="6" max="6" width="14.453125" bestFit="1" customWidth="1"/>
    <col min="7" max="7" width="18.54296875" bestFit="1" customWidth="1"/>
    <col min="8" max="8" width="20.1796875" bestFit="1" customWidth="1"/>
    <col min="9" max="9" width="16.08984375" bestFit="1" customWidth="1"/>
    <col min="10" max="10" width="19.6328125" bestFit="1" customWidth="1"/>
  </cols>
  <sheetData>
    <row r="1" spans="1:10" ht="20">
      <c r="A1" s="84" t="s">
        <v>0</v>
      </c>
      <c r="B1" s="84" t="s">
        <v>374</v>
      </c>
      <c r="C1" s="84" t="s">
        <v>1</v>
      </c>
      <c r="D1" s="84" t="s">
        <v>2</v>
      </c>
      <c r="E1" s="84" t="s">
        <v>3</v>
      </c>
      <c r="F1" s="84" t="s">
        <v>4</v>
      </c>
      <c r="G1" s="84" t="s">
        <v>5</v>
      </c>
      <c r="H1" s="85" t="s">
        <v>387</v>
      </c>
      <c r="I1" s="86" t="s">
        <v>388</v>
      </c>
      <c r="J1" s="87" t="s">
        <v>390</v>
      </c>
    </row>
    <row r="2" spans="1:10" ht="34.5">
      <c r="A2" s="28">
        <v>1</v>
      </c>
      <c r="B2" s="48">
        <f>VLOOKUP(A2, COSTS!$B$7:$C$13, 2, FALSE)</f>
        <v>65</v>
      </c>
      <c r="C2" s="39" t="s">
        <v>56</v>
      </c>
      <c r="D2" s="30">
        <v>45485</v>
      </c>
      <c r="E2" s="30">
        <v>45942</v>
      </c>
      <c r="F2" s="31">
        <v>964533244</v>
      </c>
      <c r="G2" s="32" t="s">
        <v>57</v>
      </c>
      <c r="H2" s="26">
        <f t="shared" ref="H2:H10" ca="1" si="0">NOW()</f>
        <v>46020.437982060183</v>
      </c>
      <c r="I2" s="27">
        <f ca="1">E2-H2</f>
        <v>-78.437982060182549</v>
      </c>
      <c r="J2" s="2" t="str">
        <f t="shared" ref="J2:J10" ca="1" si="1">IF(I2&lt;=0, "EXPIRED",
 IF(I2&lt;=7, "DUE THIS WEEK",
 IF(I2&lt;=30, "DUE THIS MONTH", "ACTIVE")))</f>
        <v>EXPIRED</v>
      </c>
    </row>
    <row r="3" spans="1:10" ht="34.5">
      <c r="A3" s="28">
        <v>6</v>
      </c>
      <c r="B3" s="48">
        <f>VLOOKUP(A3, COSTS!$B$7:$C$13, 2, FALSE)</f>
        <v>325</v>
      </c>
      <c r="C3" s="29" t="s">
        <v>6</v>
      </c>
      <c r="D3" s="43">
        <v>45371</v>
      </c>
      <c r="E3" s="30">
        <v>46011</v>
      </c>
      <c r="F3" s="31">
        <v>971792821</v>
      </c>
      <c r="G3" s="32" t="s">
        <v>10</v>
      </c>
      <c r="H3" s="26">
        <f t="shared" ca="1" si="0"/>
        <v>46020.437982060183</v>
      </c>
      <c r="I3" s="27">
        <f ca="1">E3-H3</f>
        <v>-9.4379820601825486</v>
      </c>
      <c r="J3" s="2" t="str">
        <f t="shared" ca="1" si="1"/>
        <v>EXPIRED</v>
      </c>
    </row>
    <row r="4" spans="1:10" ht="34.5">
      <c r="A4" s="22"/>
      <c r="B4" s="48"/>
      <c r="C4" s="22"/>
      <c r="D4" s="23"/>
      <c r="E4" s="45" t="s">
        <v>315</v>
      </c>
      <c r="F4" s="24">
        <v>975191398</v>
      </c>
      <c r="G4" s="25" t="s">
        <v>316</v>
      </c>
      <c r="H4" s="26">
        <f t="shared" ca="1" si="0"/>
        <v>46020.437982060183</v>
      </c>
      <c r="I4" s="27"/>
      <c r="J4" s="2" t="str">
        <f t="shared" si="1"/>
        <v>EXPIRED</v>
      </c>
    </row>
    <row r="5" spans="1:10" ht="34.5">
      <c r="A5" s="22"/>
      <c r="B5" s="48"/>
      <c r="C5" s="22"/>
      <c r="D5" s="23"/>
      <c r="E5" s="23">
        <v>46068</v>
      </c>
      <c r="F5" s="24">
        <v>773740049</v>
      </c>
      <c r="G5" s="25" t="s">
        <v>151</v>
      </c>
      <c r="H5" s="26">
        <f t="shared" ca="1" si="0"/>
        <v>46020.437982060183</v>
      </c>
      <c r="I5" s="27"/>
      <c r="J5" s="2" t="str">
        <f t="shared" si="1"/>
        <v>EXPIRED</v>
      </c>
    </row>
    <row r="6" spans="1:10" ht="34.5">
      <c r="A6" s="33"/>
      <c r="B6" s="48"/>
      <c r="C6" s="34"/>
      <c r="D6" s="35"/>
      <c r="E6" s="35"/>
      <c r="F6" s="36">
        <v>779384200</v>
      </c>
      <c r="G6" s="37" t="s">
        <v>73</v>
      </c>
      <c r="H6" s="26">
        <f t="shared" ca="1" si="0"/>
        <v>46020.437982060183</v>
      </c>
      <c r="I6" s="27">
        <f ca="1">E6-H6</f>
        <v>-46020.437982060183</v>
      </c>
      <c r="J6" s="2" t="str">
        <f t="shared" ca="1" si="1"/>
        <v>EXPIRED</v>
      </c>
    </row>
    <row r="7" spans="1:10" ht="34.5">
      <c r="A7" s="39">
        <v>1</v>
      </c>
      <c r="B7" s="48">
        <f>VLOOKUP(A7, COSTS!$B$7:$C$13, 2, FALSE)</f>
        <v>65</v>
      </c>
      <c r="C7" s="29" t="s">
        <v>106</v>
      </c>
      <c r="D7" s="40"/>
      <c r="E7" s="40"/>
      <c r="F7" s="41"/>
      <c r="G7" s="32" t="s">
        <v>107</v>
      </c>
      <c r="H7" s="26">
        <f t="shared" ca="1" si="0"/>
        <v>46020.437982060183</v>
      </c>
      <c r="I7" s="27">
        <f ca="1">E7-H7</f>
        <v>-46020.437982060183</v>
      </c>
      <c r="J7" s="2" t="str">
        <f t="shared" ca="1" si="1"/>
        <v>EXPIRED</v>
      </c>
    </row>
    <row r="8" spans="1:10" ht="34.5">
      <c r="A8" s="38"/>
      <c r="B8" s="48"/>
      <c r="C8" s="39" t="s">
        <v>212</v>
      </c>
      <c r="D8" s="40"/>
      <c r="E8" s="40"/>
      <c r="F8" s="41">
        <v>260776549416</v>
      </c>
      <c r="G8" s="42" t="s">
        <v>212</v>
      </c>
      <c r="H8" s="26">
        <f t="shared" ca="1" si="0"/>
        <v>46020.437982060183</v>
      </c>
      <c r="I8" s="27">
        <f ca="1">E8-H8</f>
        <v>-46020.437982060183</v>
      </c>
      <c r="J8" s="2" t="str">
        <f t="shared" ca="1" si="1"/>
        <v>EXPIRED</v>
      </c>
    </row>
    <row r="9" spans="1:10" ht="34.5">
      <c r="A9" s="22"/>
      <c r="B9" s="48"/>
      <c r="C9" s="22"/>
      <c r="D9" s="23"/>
      <c r="E9" s="23"/>
      <c r="F9" s="24">
        <v>975726804</v>
      </c>
      <c r="G9" s="25" t="s">
        <v>248</v>
      </c>
      <c r="H9" s="26">
        <f t="shared" ca="1" si="0"/>
        <v>46020.437982060183</v>
      </c>
      <c r="I9" s="27">
        <f ca="1">E9-H9</f>
        <v>-46020.437982060183</v>
      </c>
      <c r="J9" s="2" t="str">
        <f t="shared" ca="1" si="1"/>
        <v>EXPIRED</v>
      </c>
    </row>
    <row r="10" spans="1:10" ht="34.5">
      <c r="A10" s="22">
        <v>2</v>
      </c>
      <c r="B10" s="48">
        <f>VLOOKUP(A10, COSTS!$B$7:$C$13, 2, FALSE)</f>
        <v>125</v>
      </c>
      <c r="C10" s="22" t="s">
        <v>270</v>
      </c>
      <c r="D10" s="45"/>
      <c r="E10" s="45"/>
      <c r="F10" s="24" t="s">
        <v>271</v>
      </c>
      <c r="G10" s="25" t="s">
        <v>272</v>
      </c>
      <c r="H10" s="26">
        <f t="shared" ca="1" si="0"/>
        <v>46020.437982060183</v>
      </c>
      <c r="I10" s="27">
        <f ca="1">E10-H10</f>
        <v>-46020.437982060183</v>
      </c>
      <c r="J10" s="2" t="str">
        <f t="shared" ca="1" si="1"/>
        <v>EXPIRED</v>
      </c>
    </row>
  </sheetData>
  <conditionalFormatting sqref="I1:I10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DASHBOARD</vt:lpstr>
      <vt:lpstr>COSTS</vt:lpstr>
      <vt:lpstr>Total Customer Apple Music</vt:lpstr>
      <vt:lpstr>PIVOT Apple Music 2025</vt:lpstr>
      <vt:lpstr>SPOTIFY</vt:lpstr>
      <vt:lpstr>PRIME VIDEO</vt:lpstr>
      <vt:lpstr>DSTV CUSTOMERS</vt:lpstr>
      <vt:lpstr>ICLOUD STORAGE </vt:lpstr>
      <vt:lpstr>NOVEMBER APPLE MUSIC</vt:lpstr>
      <vt:lpstr>NOVEMBER APPLE MUSIC EXPENSES</vt:lpstr>
      <vt:lpstr>2024 &amp; BAD RECORDS</vt:lpstr>
      <vt:lpstr>APPLE_MUSIC_EXPENSES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Malunga Chitalu</cp:lastModifiedBy>
  <dcterms:modified xsi:type="dcterms:W3CDTF">2025-12-29T08:31:01Z</dcterms:modified>
</cp:coreProperties>
</file>